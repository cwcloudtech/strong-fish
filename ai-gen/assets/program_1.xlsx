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s" sheetId="1" r:id="rId5"/>
    <sheet state="visible" name="week 1" sheetId="2" r:id="rId6"/>
    <sheet state="visible" name="week 2" sheetId="3" r:id="rId7"/>
    <sheet state="visible" name="week 3" sheetId="4" r:id="rId8"/>
    <sheet state="visible" name="week 4" sheetId="5" r:id="rId9"/>
    <sheet state="visible" name="week 5" sheetId="6" r:id="rId10"/>
  </sheets>
  <definedNames/>
  <calcPr/>
</workbook>
</file>

<file path=xl/sharedStrings.xml><?xml version="1.0" encoding="utf-8"?>
<sst xmlns="http://schemas.openxmlformats.org/spreadsheetml/2006/main" count="402" uniqueCount="44">
  <si>
    <t>1RM</t>
  </si>
  <si>
    <t>WEEK 3 DAY 1</t>
  </si>
  <si>
    <t>WEEK 2 DAY 1</t>
  </si>
  <si>
    <t>Exercice</t>
  </si>
  <si>
    <t>Reps</t>
  </si>
  <si>
    <t>RPE</t>
  </si>
  <si>
    <t>Percentage</t>
  </si>
  <si>
    <t>Load</t>
  </si>
  <si>
    <t>e1RM</t>
  </si>
  <si>
    <t>Part</t>
  </si>
  <si>
    <t>2CT Paused Bench</t>
  </si>
  <si>
    <t>Squat</t>
  </si>
  <si>
    <t>Bench</t>
  </si>
  <si>
    <t>Deadlift</t>
  </si>
  <si>
    <t>Total</t>
  </si>
  <si>
    <t>Renfo</t>
  </si>
  <si>
    <t>Pull-ups</t>
  </si>
  <si>
    <t>Dips</t>
  </si>
  <si>
    <t>Lateral raises</t>
  </si>
  <si>
    <t>Strict curl</t>
  </si>
  <si>
    <t>?</t>
  </si>
  <si>
    <t>Dumbbel rowing</t>
  </si>
  <si>
    <t>Larsen 2CT Paused</t>
  </si>
  <si>
    <t>Hammer curl</t>
  </si>
  <si>
    <t>Paused deadlift</t>
  </si>
  <si>
    <t>WEEK 4 DAY 1</t>
  </si>
  <si>
    <t>WEEK 2 DAY 2</t>
  </si>
  <si>
    <t>WEEK 3 DAY 2</t>
  </si>
  <si>
    <t>Tempo squat 3:1:3</t>
  </si>
  <si>
    <t>WEEK 1 DAY 2</t>
  </si>
  <si>
    <t>WEEK 4 DAY 3</t>
  </si>
  <si>
    <t>Close Grip Bench</t>
  </si>
  <si>
    <t>WEEK 3 DAY 3</t>
  </si>
  <si>
    <t>WEEK 4 DAY 4</t>
  </si>
  <si>
    <t>WEEK 1 DAY 3</t>
  </si>
  <si>
    <t>Larsen press</t>
  </si>
  <si>
    <t>Larsen Close Grip</t>
  </si>
  <si>
    <t>WEEK 2 DAY 4</t>
  </si>
  <si>
    <t>WEEK 3 DAY 4</t>
  </si>
  <si>
    <t>WEEK 5 DAY 1</t>
  </si>
  <si>
    <t>WEEK 1 DAY 4</t>
  </si>
  <si>
    <t>WEEK 5 DAY 2</t>
  </si>
  <si>
    <t>Reverse bar squat</t>
  </si>
  <si>
    <t>WEEK 5 DAY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</si>
</sst>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45818E"/>
        <bgColor rgb="FF45818E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/>
    </xf>
    <xf borderId="4" fillId="5" fontId="4" numFmtId="0" xfId="0" applyBorder="1" applyFont="1"/>
    <xf borderId="4" fillId="8" fontId="4" numFmtId="0" xfId="0" applyAlignment="1" applyBorder="1" applyFill="1" applyFont="1">
      <alignment readingOrder="0"/>
    </xf>
    <xf borderId="4" fillId="9" fontId="4" numFmtId="0" xfId="0" applyAlignment="1" applyBorder="1" applyFill="1" applyFont="1">
      <alignment readingOrder="0"/>
    </xf>
    <xf borderId="4" fillId="6" fontId="4" numFmtId="0" xfId="0" applyBorder="1" applyFont="1"/>
    <xf borderId="4" fillId="10" fontId="4" numFmtId="0" xfId="0" applyAlignment="1" applyBorder="1" applyFill="1" applyFont="1">
      <alignment readingOrder="0"/>
    </xf>
    <xf borderId="5" fillId="11" fontId="4" numFmtId="0" xfId="0" applyAlignment="1" applyBorder="1" applyFill="1" applyFont="1">
      <alignment readingOrder="0"/>
    </xf>
    <xf borderId="4" fillId="10" fontId="4" numFmtId="0" xfId="0" applyBorder="1" applyFont="1"/>
    <xf borderId="1" fillId="3" fontId="1" numFmtId="0" xfId="0" applyAlignment="1" applyBorder="1" applyFont="1">
      <alignment readingOrder="0"/>
    </xf>
    <xf borderId="4" fillId="12" fontId="4" numFmtId="0" xfId="0" applyAlignment="1" applyBorder="1" applyFill="1" applyFont="1">
      <alignment readingOrder="0"/>
    </xf>
    <xf borderId="6" fillId="0" fontId="3" numFmtId="0" xfId="0" applyBorder="1" applyFont="1"/>
    <xf borderId="4" fillId="13" fontId="4" numFmtId="0" xfId="0" applyAlignment="1" applyBorder="1" applyFill="1" applyFont="1">
      <alignment readingOrder="0"/>
    </xf>
    <xf borderId="4" fillId="14" fontId="4" numFmtId="0" xfId="0" applyAlignment="1" applyBorder="1" applyFill="1" applyFont="1">
      <alignment readingOrder="0"/>
    </xf>
    <xf borderId="4" fillId="15" fontId="4" numFmtId="0" xfId="0" applyAlignment="1" applyBorder="1" applyFill="1" applyFont="1">
      <alignment readingOrder="0"/>
    </xf>
    <xf borderId="4" fillId="16" fontId="4" numFmtId="0" xfId="0" applyAlignment="1" applyBorder="1" applyFill="1" applyFont="1">
      <alignment readingOrder="0"/>
    </xf>
    <xf borderId="4" fillId="17" fontId="4" numFmtId="0" xfId="0" applyAlignment="1" applyBorder="1" applyFill="1" applyFont="1">
      <alignment readingOrder="0"/>
    </xf>
    <xf borderId="4" fillId="18" fontId="4" numFmtId="0" xfId="0" applyAlignment="1" applyBorder="1" applyFill="1" applyFont="1">
      <alignment readingOrder="0"/>
    </xf>
    <xf borderId="4" fillId="16" fontId="4" numFmtId="0" xfId="0" applyBorder="1" applyFont="1"/>
    <xf borderId="4" fillId="9" fontId="4" numFmtId="0" xfId="0" applyBorder="1" applyFont="1"/>
    <xf borderId="4" fillId="19" fontId="4" numFmtId="0" xfId="0" applyAlignment="1" applyBorder="1" applyFill="1" applyFont="1">
      <alignment readingOrder="0"/>
    </xf>
    <xf borderId="4" fillId="19" fontId="4" numFmtId="0" xfId="0" applyBorder="1" applyFont="1"/>
    <xf borderId="4" fillId="12" fontId="4" numFmtId="0" xfId="0" applyBorder="1" applyFont="1"/>
    <xf borderId="4" fillId="13" fontId="4" numFmtId="0" xfId="0" applyBorder="1" applyFont="1"/>
    <xf borderId="7" fillId="0" fontId="3" numFmtId="0" xfId="0" applyBorder="1" applyFont="1"/>
    <xf borderId="4" fillId="14" fontId="4" numFmtId="0" xfId="0" applyBorder="1" applyFont="1"/>
    <xf borderId="5" fillId="18" fontId="4" numFmtId="0" xfId="0" applyAlignment="1" applyBorder="1" applyFont="1">
      <alignment readingOrder="0"/>
    </xf>
    <xf borderId="4" fillId="15" fontId="4" numFmtId="0" xfId="0" applyBorder="1" applyFont="1"/>
    <xf borderId="4" fillId="7" fontId="4" numFmtId="0" xfId="0" applyBorder="1" applyFont="1"/>
    <xf borderId="5" fillId="14" fontId="4" numFmtId="0" xfId="0" applyBorder="1" applyFont="1"/>
    <xf borderId="4" fillId="20" fontId="4" numFmtId="0" xfId="0" applyAlignment="1" applyBorder="1" applyFill="1" applyFont="1">
      <alignment readingOrder="0"/>
    </xf>
    <xf borderId="4" fillId="20" fontId="4" numFmtId="0" xfId="0" applyBorder="1" applyFont="1"/>
    <xf borderId="4" fillId="8" fontId="4" numFmtId="0" xfId="0" applyBorder="1" applyFont="1"/>
    <xf borderId="5" fillId="15" fontId="4" numFmtId="0" xfId="0" applyBorder="1" applyFont="1"/>
    <xf borderId="4" fillId="17" fontId="4" numFmtId="0" xfId="0" applyBorder="1" applyFont="1"/>
    <xf borderId="4" fillId="21" fontId="4" numFmtId="0" xfId="0" applyAlignment="1" applyBorder="1" applyFill="1" applyFont="1">
      <alignment readingOrder="0"/>
    </xf>
    <xf borderId="4" fillId="21" fontId="4" numFmtId="0" xfId="0" applyBorder="1" applyFont="1"/>
    <xf borderId="5" fillId="21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/>
    </row>
    <row r="2">
      <c r="A2" s="7" t="s">
        <v>3</v>
      </c>
      <c r="B2" s="7" t="s">
        <v>7</v>
      </c>
    </row>
    <row r="3">
      <c r="A3" s="10" t="s">
        <v>11</v>
      </c>
      <c r="B3" s="10">
        <v>120.0</v>
      </c>
    </row>
    <row r="4">
      <c r="A4" s="12" t="s">
        <v>12</v>
      </c>
      <c r="B4" s="12">
        <v>95.0</v>
      </c>
    </row>
    <row r="5">
      <c r="A5" s="13" t="s">
        <v>13</v>
      </c>
      <c r="B5" s="13">
        <v>225.0</v>
      </c>
    </row>
    <row r="6">
      <c r="A6" s="15" t="s">
        <v>14</v>
      </c>
      <c r="B6" s="17">
        <f>SUM(B3:B5)</f>
        <v>440</v>
      </c>
    </row>
    <row r="8">
      <c r="A8" s="18" t="s">
        <v>15</v>
      </c>
      <c r="B8" s="3"/>
      <c r="C8" s="4"/>
    </row>
    <row r="9">
      <c r="A9" s="7" t="s">
        <v>3</v>
      </c>
      <c r="B9" s="7" t="s">
        <v>4</v>
      </c>
      <c r="C9" s="7" t="s">
        <v>7</v>
      </c>
    </row>
    <row r="10">
      <c r="A10" s="19" t="s">
        <v>16</v>
      </c>
      <c r="B10" s="19">
        <v>5.0</v>
      </c>
      <c r="C10" s="19">
        <v>0.0</v>
      </c>
    </row>
    <row r="11">
      <c r="A11" s="21" t="s">
        <v>17</v>
      </c>
      <c r="B11" s="21">
        <v>8.0</v>
      </c>
      <c r="C11" s="21">
        <v>0.0</v>
      </c>
    </row>
    <row r="12">
      <c r="A12" s="22" t="s">
        <v>18</v>
      </c>
      <c r="B12" s="22">
        <v>15.0</v>
      </c>
      <c r="C12" s="22">
        <v>14.0</v>
      </c>
    </row>
    <row r="13">
      <c r="A13" s="23" t="s">
        <v>19</v>
      </c>
      <c r="B13" s="23">
        <v>15.0</v>
      </c>
      <c r="C13" s="23">
        <v>14.0</v>
      </c>
    </row>
    <row r="14">
      <c r="A14" s="25" t="s">
        <v>21</v>
      </c>
      <c r="B14" s="25">
        <v>8.0</v>
      </c>
      <c r="C14" s="25">
        <v>46.0</v>
      </c>
    </row>
    <row r="15">
      <c r="A15" s="26" t="s">
        <v>23</v>
      </c>
      <c r="B15" s="26">
        <v>8.0</v>
      </c>
      <c r="C15" s="26">
        <v>26.0</v>
      </c>
    </row>
  </sheetData>
  <mergeCells count="2">
    <mergeCell ref="A1:B1"/>
    <mergeCell ref="A8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2" t="str">
        <f>refs!A10</f>
        <v>Pull-ups</v>
      </c>
      <c r="B1" s="3"/>
      <c r="C1" s="3"/>
      <c r="D1" s="3"/>
      <c r="E1" s="3"/>
      <c r="F1" s="3"/>
      <c r="G1" s="4"/>
      <c r="H1" s="5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5"/>
    </row>
    <row r="3">
      <c r="A3" s="9" t="s">
        <v>10</v>
      </c>
      <c r="B3" s="9">
        <v>3.0</v>
      </c>
      <c r="C3" s="9">
        <v>6.0</v>
      </c>
      <c r="D3" s="9">
        <v>82.0</v>
      </c>
      <c r="E3" s="14">
        <f>D3/100*refs!B4</f>
        <v>77.9</v>
      </c>
      <c r="F3" s="14">
        <f t="shared" ref="F3:F28" si="1">IF(OR(C3="?",E3&lt;=0), "?", ROUND(E3*(1+(B3+(10-C3))/30),1))</f>
        <v>96.1</v>
      </c>
      <c r="G3" s="16"/>
    </row>
    <row r="4">
      <c r="A4" s="9" t="s">
        <v>10</v>
      </c>
      <c r="B4" s="9">
        <v>3.0</v>
      </c>
      <c r="C4" s="9">
        <v>8.0</v>
      </c>
      <c r="D4" s="9">
        <v>87.0</v>
      </c>
      <c r="E4" s="14">
        <f>D4/100*refs!B4</f>
        <v>82.65</v>
      </c>
      <c r="F4" s="14">
        <f t="shared" si="1"/>
        <v>96.4</v>
      </c>
      <c r="G4" s="20"/>
    </row>
    <row r="5">
      <c r="A5" s="9" t="s">
        <v>10</v>
      </c>
      <c r="B5" s="9">
        <v>3.0</v>
      </c>
      <c r="C5" s="9">
        <v>8.0</v>
      </c>
      <c r="D5" s="9">
        <v>87.0</v>
      </c>
      <c r="E5" s="14">
        <f>D5/100*refs!B4</f>
        <v>82.65</v>
      </c>
      <c r="F5" s="14">
        <f t="shared" si="1"/>
        <v>96.4</v>
      </c>
      <c r="G5" s="20"/>
    </row>
    <row r="6">
      <c r="A6" s="8" t="s">
        <v>22</v>
      </c>
      <c r="B6" s="8">
        <v>3.0</v>
      </c>
      <c r="C6" s="24" t="s">
        <v>20</v>
      </c>
      <c r="D6" s="8">
        <v>82.0</v>
      </c>
      <c r="E6" s="11">
        <f>D6/100*refs!B4</f>
        <v>77.9</v>
      </c>
      <c r="F6" s="27" t="str">
        <f t="shared" si="1"/>
        <v>?</v>
      </c>
      <c r="G6" s="20"/>
    </row>
    <row r="7">
      <c r="A7" s="8" t="s">
        <v>22</v>
      </c>
      <c r="B7" s="8">
        <v>3.0</v>
      </c>
      <c r="C7" s="24" t="s">
        <v>20</v>
      </c>
      <c r="D7" s="8">
        <v>82.0</v>
      </c>
      <c r="E7" s="11">
        <f>D7/100*refs!B4</f>
        <v>77.9</v>
      </c>
      <c r="F7" s="27" t="str">
        <f t="shared" si="1"/>
        <v>?</v>
      </c>
      <c r="G7" s="20"/>
    </row>
    <row r="8">
      <c r="A8" s="13" t="s">
        <v>13</v>
      </c>
      <c r="B8" s="13">
        <v>3.0</v>
      </c>
      <c r="C8" s="13">
        <v>5.0</v>
      </c>
      <c r="D8" s="13">
        <v>79.0</v>
      </c>
      <c r="E8" s="28">
        <f>D8/100*refs!B5</f>
        <v>177.75</v>
      </c>
      <c r="F8" s="28">
        <f t="shared" si="1"/>
        <v>225.2</v>
      </c>
      <c r="G8" s="20"/>
    </row>
    <row r="9">
      <c r="A9" s="13" t="s">
        <v>13</v>
      </c>
      <c r="B9" s="13">
        <v>3.0</v>
      </c>
      <c r="C9" s="13">
        <v>7.0</v>
      </c>
      <c r="D9" s="13">
        <v>84.0</v>
      </c>
      <c r="E9" s="28">
        <f>D9/100*refs!B5</f>
        <v>189</v>
      </c>
      <c r="F9" s="28">
        <f t="shared" si="1"/>
        <v>226.8</v>
      </c>
      <c r="G9" s="20"/>
    </row>
    <row r="10">
      <c r="A10" s="13" t="s">
        <v>13</v>
      </c>
      <c r="B10" s="13">
        <v>3.0</v>
      </c>
      <c r="C10" s="13">
        <v>5.0</v>
      </c>
      <c r="D10" s="13">
        <v>79.0</v>
      </c>
      <c r="E10" s="28">
        <f>D10/100*refs!B5</f>
        <v>177.75</v>
      </c>
      <c r="F10" s="28">
        <f t="shared" si="1"/>
        <v>225.2</v>
      </c>
      <c r="G10" s="20"/>
    </row>
    <row r="11">
      <c r="A11" s="29" t="s">
        <v>24</v>
      </c>
      <c r="B11" s="29">
        <v>3.0</v>
      </c>
      <c r="C11" s="29">
        <v>6.0</v>
      </c>
      <c r="D11" s="29">
        <v>75.0</v>
      </c>
      <c r="E11" s="30">
        <f>D11/100*refs!B5</f>
        <v>168.75</v>
      </c>
      <c r="F11" s="30">
        <f t="shared" si="1"/>
        <v>208.1</v>
      </c>
      <c r="G11" s="20"/>
    </row>
    <row r="12">
      <c r="A12" s="29" t="s">
        <v>24</v>
      </c>
      <c r="B12" s="29">
        <v>3.0</v>
      </c>
      <c r="C12" s="29">
        <v>8.0</v>
      </c>
      <c r="D12" s="29">
        <v>81.0</v>
      </c>
      <c r="E12" s="30">
        <f>D12/100*refs!B5</f>
        <v>182.25</v>
      </c>
      <c r="F12" s="30">
        <f t="shared" si="1"/>
        <v>212.6</v>
      </c>
      <c r="G12" s="20"/>
    </row>
    <row r="13">
      <c r="A13" s="19" t="str">
        <f>refs!A10</f>
        <v>Pull-ups</v>
      </c>
      <c r="B13" s="19">
        <f>refs!B10</f>
        <v>5</v>
      </c>
      <c r="C13" s="19">
        <v>8.0</v>
      </c>
      <c r="D13" s="31"/>
      <c r="E13" s="19">
        <f>refs!C10</f>
        <v>0</v>
      </c>
      <c r="F13" s="31" t="str">
        <f t="shared" si="1"/>
        <v>?</v>
      </c>
      <c r="G13" s="20"/>
    </row>
    <row r="14">
      <c r="A14" s="19" t="str">
        <f>refs!A10</f>
        <v>Pull-ups</v>
      </c>
      <c r="B14" s="19">
        <f>refs!B10</f>
        <v>5</v>
      </c>
      <c r="C14" s="19">
        <v>8.0</v>
      </c>
      <c r="D14" s="31"/>
      <c r="E14" s="19">
        <f>refs!C10</f>
        <v>0</v>
      </c>
      <c r="F14" s="31" t="str">
        <f t="shared" si="1"/>
        <v>?</v>
      </c>
      <c r="G14" s="20"/>
    </row>
    <row r="15">
      <c r="A15" s="19" t="str">
        <f>refs!A10</f>
        <v>Pull-ups</v>
      </c>
      <c r="B15" s="19">
        <f>refs!B10</f>
        <v>5</v>
      </c>
      <c r="C15" s="19">
        <v>8.0</v>
      </c>
      <c r="D15" s="31"/>
      <c r="E15" s="19">
        <f>refs!C10</f>
        <v>0</v>
      </c>
      <c r="F15" s="31" t="str">
        <f t="shared" si="1"/>
        <v>?</v>
      </c>
      <c r="G15" s="20"/>
    </row>
    <row r="16">
      <c r="A16" s="19" t="str">
        <f>refs!A10</f>
        <v>Pull-ups</v>
      </c>
      <c r="B16" s="19">
        <f>refs!B10</f>
        <v>5</v>
      </c>
      <c r="C16" s="19">
        <v>8.0</v>
      </c>
      <c r="D16" s="31"/>
      <c r="E16" s="19">
        <f>refs!C10</f>
        <v>0</v>
      </c>
      <c r="F16" s="31" t="str">
        <f t="shared" si="1"/>
        <v>?</v>
      </c>
      <c r="G16" s="20"/>
    </row>
    <row r="17">
      <c r="A17" s="21" t="str">
        <f>refs!A11</f>
        <v>Dips</v>
      </c>
      <c r="B17" s="21">
        <f>refs!B11</f>
        <v>8</v>
      </c>
      <c r="C17" s="21">
        <v>8.0</v>
      </c>
      <c r="D17" s="32"/>
      <c r="E17" s="21">
        <f>refs!C11</f>
        <v>0</v>
      </c>
      <c r="F17" s="32" t="str">
        <f t="shared" si="1"/>
        <v>?</v>
      </c>
      <c r="G17" s="20"/>
    </row>
    <row r="18">
      <c r="A18" s="21" t="str">
        <f>refs!A11</f>
        <v>Dips</v>
      </c>
      <c r="B18" s="21">
        <f>refs!B11</f>
        <v>8</v>
      </c>
      <c r="C18" s="21">
        <v>8.0</v>
      </c>
      <c r="D18" s="32"/>
      <c r="E18" s="21">
        <f>refs!C11</f>
        <v>0</v>
      </c>
      <c r="F18" s="32" t="str">
        <f t="shared" si="1"/>
        <v>?</v>
      </c>
      <c r="G18" s="20"/>
    </row>
    <row r="19">
      <c r="A19" s="21" t="str">
        <f>refs!A11</f>
        <v>Dips</v>
      </c>
      <c r="B19" s="21">
        <f>refs!B11</f>
        <v>8</v>
      </c>
      <c r="C19" s="21">
        <v>8.0</v>
      </c>
      <c r="D19" s="32"/>
      <c r="E19" s="21">
        <f>refs!C11</f>
        <v>0</v>
      </c>
      <c r="F19" s="32" t="str">
        <f t="shared" si="1"/>
        <v>?</v>
      </c>
      <c r="G19" s="20"/>
    </row>
    <row r="20">
      <c r="A20" s="21" t="str">
        <f>refs!A11</f>
        <v>Dips</v>
      </c>
      <c r="B20" s="21">
        <f>refs!B11</f>
        <v>8</v>
      </c>
      <c r="C20" s="21">
        <v>8.0</v>
      </c>
      <c r="D20" s="32"/>
      <c r="E20" s="21">
        <f>refs!C11</f>
        <v>0</v>
      </c>
      <c r="F20" s="32" t="str">
        <f t="shared" si="1"/>
        <v>?</v>
      </c>
      <c r="G20" s="33"/>
    </row>
    <row r="21">
      <c r="A21" s="22" t="str">
        <f>refs!A12</f>
        <v>Lateral raises</v>
      </c>
      <c r="B21" s="22">
        <f>refs!B12</f>
        <v>15</v>
      </c>
      <c r="C21" s="22">
        <v>8.0</v>
      </c>
      <c r="D21" s="34"/>
      <c r="E21" s="22">
        <f>refs!C12</f>
        <v>14</v>
      </c>
      <c r="F21" s="34">
        <f t="shared" si="1"/>
        <v>21.9</v>
      </c>
      <c r="G21" s="35">
        <v>2.0</v>
      </c>
    </row>
    <row r="22">
      <c r="A22" s="22" t="str">
        <f>refs!A12</f>
        <v>Lateral raises</v>
      </c>
      <c r="B22" s="22">
        <f>refs!B12</f>
        <v>15</v>
      </c>
      <c r="C22" s="22">
        <v>8.0</v>
      </c>
      <c r="D22" s="34"/>
      <c r="E22" s="22">
        <f>refs!C12</f>
        <v>14</v>
      </c>
      <c r="F22" s="34">
        <f t="shared" si="1"/>
        <v>21.9</v>
      </c>
      <c r="G22" s="20"/>
    </row>
    <row r="23">
      <c r="A23" s="22" t="str">
        <f>refs!A12</f>
        <v>Lateral raises</v>
      </c>
      <c r="B23" s="22">
        <f>refs!B12</f>
        <v>15</v>
      </c>
      <c r="C23" s="22">
        <v>8.0</v>
      </c>
      <c r="D23" s="34"/>
      <c r="E23" s="22">
        <f>refs!C12</f>
        <v>14</v>
      </c>
      <c r="F23" s="34">
        <f t="shared" si="1"/>
        <v>21.9</v>
      </c>
      <c r="G23" s="20"/>
    </row>
    <row r="24" ht="16.5" customHeight="1">
      <c r="A24" s="22" t="str">
        <f>refs!A12</f>
        <v>Lateral raises</v>
      </c>
      <c r="B24" s="22">
        <f>refs!B12</f>
        <v>15</v>
      </c>
      <c r="C24" s="22">
        <v>8.0</v>
      </c>
      <c r="D24" s="34"/>
      <c r="E24" s="22">
        <f>refs!C12</f>
        <v>14</v>
      </c>
      <c r="F24" s="38">
        <f t="shared" si="1"/>
        <v>21.9</v>
      </c>
      <c r="G24" s="20"/>
    </row>
    <row r="25" ht="16.5" customHeight="1">
      <c r="A25" s="23" t="str">
        <f>refs!A13</f>
        <v>Strict curl</v>
      </c>
      <c r="B25" s="23">
        <f>refs!B13</f>
        <v>15</v>
      </c>
      <c r="C25" s="23">
        <v>8.0</v>
      </c>
      <c r="D25" s="36"/>
      <c r="E25" s="23">
        <f>refs!C13</f>
        <v>14</v>
      </c>
      <c r="F25" s="36">
        <f t="shared" si="1"/>
        <v>21.9</v>
      </c>
      <c r="G25" s="20"/>
    </row>
    <row r="26" ht="16.5" customHeight="1">
      <c r="A26" s="23" t="str">
        <f>refs!A13</f>
        <v>Strict curl</v>
      </c>
      <c r="B26" s="23">
        <f>refs!B13</f>
        <v>15</v>
      </c>
      <c r="C26" s="23">
        <v>8.0</v>
      </c>
      <c r="D26" s="36"/>
      <c r="E26" s="23">
        <f>refs!C13</f>
        <v>14</v>
      </c>
      <c r="F26" s="36">
        <f t="shared" si="1"/>
        <v>21.9</v>
      </c>
      <c r="G26" s="20"/>
    </row>
    <row r="27" ht="16.5" customHeight="1">
      <c r="A27" s="23" t="str">
        <f>refs!A13</f>
        <v>Strict curl</v>
      </c>
      <c r="B27" s="23">
        <f>refs!B13</f>
        <v>15</v>
      </c>
      <c r="C27" s="23">
        <v>8.0</v>
      </c>
      <c r="D27" s="36"/>
      <c r="E27" s="23">
        <f>refs!C13</f>
        <v>14</v>
      </c>
      <c r="F27" s="36">
        <f t="shared" si="1"/>
        <v>21.9</v>
      </c>
      <c r="G27" s="20"/>
    </row>
    <row r="28" ht="16.5" customHeight="1">
      <c r="A28" s="23" t="str">
        <f>refs!A13</f>
        <v>Strict curl</v>
      </c>
      <c r="B28" s="23">
        <f>refs!B13</f>
        <v>15</v>
      </c>
      <c r="C28" s="23">
        <v>8.0</v>
      </c>
      <c r="D28" s="36"/>
      <c r="E28" s="23">
        <f>refs!C13</f>
        <v>14</v>
      </c>
      <c r="F28" s="42">
        <f t="shared" si="1"/>
        <v>21.9</v>
      </c>
      <c r="G28" s="33"/>
    </row>
    <row r="30">
      <c r="A30" s="1" t="s">
        <v>29</v>
      </c>
      <c r="B30" s="3"/>
      <c r="C30" s="3"/>
      <c r="D30" s="3"/>
      <c r="E30" s="3"/>
      <c r="F30" s="3"/>
      <c r="G30" s="4"/>
    </row>
    <row r="31">
      <c r="A31" s="6" t="s">
        <v>3</v>
      </c>
      <c r="B31" s="6" t="s">
        <v>4</v>
      </c>
      <c r="C31" s="6" t="s">
        <v>5</v>
      </c>
      <c r="D31" s="6" t="s">
        <v>6</v>
      </c>
      <c r="E31" s="6" t="s">
        <v>7</v>
      </c>
      <c r="F31" s="6" t="s">
        <v>8</v>
      </c>
      <c r="G31" s="6" t="s">
        <v>9</v>
      </c>
    </row>
    <row r="32">
      <c r="A32" s="10" t="s">
        <v>11</v>
      </c>
      <c r="B32" s="10">
        <v>3.0</v>
      </c>
      <c r="C32" s="10">
        <v>5.0</v>
      </c>
      <c r="D32" s="10">
        <v>79.0</v>
      </c>
      <c r="E32" s="37">
        <f>D32/100*refs!B3</f>
        <v>94.8</v>
      </c>
      <c r="F32" s="37">
        <f t="shared" ref="F32:F50" si="2">IF(OR(C32="?",E32&lt;=0), "?", ROUND(E32*(1+(B32+(10-C32))/30),1))</f>
        <v>120.1</v>
      </c>
      <c r="G32" s="16">
        <v>1.0</v>
      </c>
    </row>
    <row r="33">
      <c r="A33" s="10" t="s">
        <v>11</v>
      </c>
      <c r="B33" s="10">
        <v>3.0</v>
      </c>
      <c r="C33" s="10">
        <v>7.0</v>
      </c>
      <c r="D33" s="10">
        <v>84.0</v>
      </c>
      <c r="E33" s="37">
        <f>D33/100*refs!B3</f>
        <v>100.8</v>
      </c>
      <c r="F33" s="37">
        <f t="shared" si="2"/>
        <v>121</v>
      </c>
      <c r="G33" s="20"/>
    </row>
    <row r="34">
      <c r="A34" s="10" t="s">
        <v>11</v>
      </c>
      <c r="B34" s="10">
        <v>3.0</v>
      </c>
      <c r="C34" s="10">
        <v>6.0</v>
      </c>
      <c r="D34" s="10">
        <v>82.0</v>
      </c>
      <c r="E34" s="37">
        <f>D34/100*refs!B3</f>
        <v>98.4</v>
      </c>
      <c r="F34" s="37">
        <f t="shared" si="2"/>
        <v>121.4</v>
      </c>
      <c r="G34" s="20"/>
    </row>
    <row r="35">
      <c r="A35" s="39" t="s">
        <v>28</v>
      </c>
      <c r="B35" s="39">
        <v>5.0</v>
      </c>
      <c r="C35" s="39">
        <v>7.0</v>
      </c>
      <c r="D35" s="39">
        <v>77.0</v>
      </c>
      <c r="E35" s="40">
        <f>D35/100*refs!B3</f>
        <v>92.4</v>
      </c>
      <c r="F35" s="40">
        <f t="shared" si="2"/>
        <v>117</v>
      </c>
      <c r="G35" s="20"/>
    </row>
    <row r="36">
      <c r="A36" s="39" t="s">
        <v>28</v>
      </c>
      <c r="B36" s="39">
        <v>5.0</v>
      </c>
      <c r="C36" s="39">
        <v>7.0</v>
      </c>
      <c r="D36" s="39">
        <v>77.0</v>
      </c>
      <c r="E36" s="40">
        <f>D36/100*refs!B3</f>
        <v>92.4</v>
      </c>
      <c r="F36" s="40">
        <f t="shared" si="2"/>
        <v>117</v>
      </c>
      <c r="G36" s="20"/>
    </row>
    <row r="37">
      <c r="A37" s="39" t="s">
        <v>28</v>
      </c>
      <c r="B37" s="39">
        <v>5.0</v>
      </c>
      <c r="C37" s="39">
        <v>7.0</v>
      </c>
      <c r="D37" s="39">
        <v>77.0</v>
      </c>
      <c r="E37" s="40">
        <f>D37/100*refs!B3</f>
        <v>92.4</v>
      </c>
      <c r="F37" s="40">
        <f t="shared" si="2"/>
        <v>117</v>
      </c>
      <c r="G37" s="20"/>
    </row>
    <row r="38">
      <c r="A38" s="12" t="s">
        <v>12</v>
      </c>
      <c r="B38" s="12">
        <v>7.0</v>
      </c>
      <c r="C38" s="12">
        <v>6.0</v>
      </c>
      <c r="D38" s="12">
        <v>71.0</v>
      </c>
      <c r="E38" s="41">
        <f>D38/100*refs!B4</f>
        <v>67.45</v>
      </c>
      <c r="F38" s="41">
        <f t="shared" si="2"/>
        <v>92.2</v>
      </c>
      <c r="G38" s="20"/>
    </row>
    <row r="39">
      <c r="A39" s="12" t="s">
        <v>12</v>
      </c>
      <c r="B39" s="12">
        <v>7.0</v>
      </c>
      <c r="C39" s="12">
        <v>8.0</v>
      </c>
      <c r="D39" s="12">
        <v>77.0</v>
      </c>
      <c r="E39" s="41">
        <f>D39/100*refs!B4</f>
        <v>73.15</v>
      </c>
      <c r="F39" s="41">
        <f t="shared" si="2"/>
        <v>95.1</v>
      </c>
      <c r="G39" s="20"/>
    </row>
    <row r="40">
      <c r="A40" s="12" t="s">
        <v>12</v>
      </c>
      <c r="B40" s="12">
        <v>7.0</v>
      </c>
      <c r="C40" s="24" t="s">
        <v>20</v>
      </c>
      <c r="D40" s="12">
        <v>71.0</v>
      </c>
      <c r="E40" s="41">
        <f>D40/100*refs!B4</f>
        <v>67.45</v>
      </c>
      <c r="F40" s="27" t="str">
        <f t="shared" si="2"/>
        <v>?</v>
      </c>
      <c r="G40" s="20"/>
    </row>
    <row r="41">
      <c r="A41" s="12" t="s">
        <v>12</v>
      </c>
      <c r="B41" s="12">
        <v>7.0</v>
      </c>
      <c r="C41" s="24" t="s">
        <v>20</v>
      </c>
      <c r="D41" s="12">
        <v>66.0</v>
      </c>
      <c r="E41" s="41">
        <f>D41/100*refs!B4</f>
        <v>62.7</v>
      </c>
      <c r="F41" s="27" t="str">
        <f t="shared" si="2"/>
        <v>?</v>
      </c>
      <c r="G41" s="20"/>
    </row>
    <row r="42">
      <c r="A42" s="12" t="s">
        <v>12</v>
      </c>
      <c r="B42" s="12">
        <v>7.0</v>
      </c>
      <c r="C42" s="24" t="s">
        <v>20</v>
      </c>
      <c r="D42" s="12">
        <v>66.0</v>
      </c>
      <c r="E42" s="41">
        <f>D42/100*refs!B4</f>
        <v>62.7</v>
      </c>
      <c r="F42" s="27" t="str">
        <f t="shared" si="2"/>
        <v>?</v>
      </c>
      <c r="G42" s="20"/>
    </row>
    <row r="43">
      <c r="A43" s="25" t="str">
        <f>refs!A14</f>
        <v>Dumbbel rowing</v>
      </c>
      <c r="B43" s="25">
        <f>refs!B14</f>
        <v>8</v>
      </c>
      <c r="C43" s="25">
        <v>8.0</v>
      </c>
      <c r="D43" s="43"/>
      <c r="E43" s="25">
        <f>refs!C14</f>
        <v>46</v>
      </c>
      <c r="F43" s="43">
        <f t="shared" si="2"/>
        <v>61.3</v>
      </c>
      <c r="G43" s="20"/>
    </row>
    <row r="44">
      <c r="A44" s="25" t="str">
        <f>refs!A14</f>
        <v>Dumbbel rowing</v>
      </c>
      <c r="B44" s="25">
        <f>refs!B14</f>
        <v>8</v>
      </c>
      <c r="C44" s="25">
        <v>8.0</v>
      </c>
      <c r="D44" s="43"/>
      <c r="E44" s="25">
        <f>refs!C14</f>
        <v>46</v>
      </c>
      <c r="F44" s="43">
        <f t="shared" si="2"/>
        <v>61.3</v>
      </c>
      <c r="G44" s="20"/>
    </row>
    <row r="45">
      <c r="A45" s="25" t="str">
        <f>refs!A14</f>
        <v>Dumbbel rowing</v>
      </c>
      <c r="B45" s="25">
        <f>refs!B14</f>
        <v>8</v>
      </c>
      <c r="C45" s="25">
        <v>8.0</v>
      </c>
      <c r="D45" s="43"/>
      <c r="E45" s="25">
        <f>refs!C14</f>
        <v>46</v>
      </c>
      <c r="F45" s="43">
        <f t="shared" si="2"/>
        <v>61.3</v>
      </c>
      <c r="G45" s="20"/>
    </row>
    <row r="46">
      <c r="A46" s="25" t="str">
        <f>refs!A14</f>
        <v>Dumbbel rowing</v>
      </c>
      <c r="B46" s="25">
        <f>refs!B14</f>
        <v>8</v>
      </c>
      <c r="C46" s="25">
        <v>8.0</v>
      </c>
      <c r="D46" s="43"/>
      <c r="E46" s="25">
        <f>refs!C14</f>
        <v>46</v>
      </c>
      <c r="F46" s="43">
        <f t="shared" si="2"/>
        <v>61.3</v>
      </c>
      <c r="G46" s="20"/>
    </row>
    <row r="47">
      <c r="A47" s="44" t="str">
        <f>refs!A15</f>
        <v>Hammer curl</v>
      </c>
      <c r="B47" s="44">
        <f>refs!B15</f>
        <v>8</v>
      </c>
      <c r="C47" s="44">
        <v>8.0</v>
      </c>
      <c r="D47" s="45"/>
      <c r="E47" s="44">
        <f>refs!C15</f>
        <v>26</v>
      </c>
      <c r="F47" s="45">
        <f t="shared" si="2"/>
        <v>34.7</v>
      </c>
      <c r="G47" s="20"/>
    </row>
    <row r="48">
      <c r="A48" s="44" t="str">
        <f>refs!A15</f>
        <v>Hammer curl</v>
      </c>
      <c r="B48" s="44">
        <f>refs!B15</f>
        <v>8</v>
      </c>
      <c r="C48" s="44">
        <v>8.0</v>
      </c>
      <c r="D48" s="45"/>
      <c r="E48" s="44">
        <f>refs!C15</f>
        <v>26</v>
      </c>
      <c r="F48" s="45">
        <f t="shared" si="2"/>
        <v>34.7</v>
      </c>
      <c r="G48" s="20"/>
    </row>
    <row r="49">
      <c r="A49" s="44" t="str">
        <f>refs!A15</f>
        <v>Hammer curl</v>
      </c>
      <c r="B49" s="44">
        <f>refs!B15</f>
        <v>8</v>
      </c>
      <c r="C49" s="44">
        <v>8.0</v>
      </c>
      <c r="D49" s="45"/>
      <c r="E49" s="44">
        <f>refs!C15</f>
        <v>26</v>
      </c>
      <c r="F49" s="45">
        <f t="shared" si="2"/>
        <v>34.7</v>
      </c>
      <c r="G49" s="20"/>
    </row>
    <row r="50">
      <c r="A50" s="44" t="str">
        <f>refs!A15</f>
        <v>Hammer curl</v>
      </c>
      <c r="B50" s="44">
        <f>refs!B15</f>
        <v>8</v>
      </c>
      <c r="C50" s="44">
        <v>8.0</v>
      </c>
      <c r="D50" s="45"/>
      <c r="E50" s="44">
        <f>refs!C15</f>
        <v>26</v>
      </c>
      <c r="F50" s="46">
        <f t="shared" si="2"/>
        <v>34.7</v>
      </c>
      <c r="G50" s="33"/>
    </row>
    <row r="52">
      <c r="A52" s="1" t="s">
        <v>34</v>
      </c>
      <c r="B52" s="3"/>
      <c r="C52" s="3"/>
      <c r="D52" s="3"/>
      <c r="E52" s="3"/>
      <c r="F52" s="3"/>
      <c r="G52" s="4"/>
    </row>
    <row r="53">
      <c r="A53" s="7" t="s">
        <v>3</v>
      </c>
      <c r="B53" s="7" t="s">
        <v>4</v>
      </c>
      <c r="C53" s="7" t="s">
        <v>5</v>
      </c>
      <c r="D53" s="7" t="s">
        <v>6</v>
      </c>
      <c r="E53" s="7" t="s">
        <v>7</v>
      </c>
      <c r="F53" s="7" t="s">
        <v>8</v>
      </c>
      <c r="G53" s="7" t="s">
        <v>9</v>
      </c>
    </row>
    <row r="54">
      <c r="A54" s="9" t="s">
        <v>31</v>
      </c>
      <c r="B54" s="9">
        <v>4.0</v>
      </c>
      <c r="C54" s="9">
        <v>6.0</v>
      </c>
      <c r="D54" s="9">
        <v>79.0</v>
      </c>
      <c r="E54" s="14">
        <f>D54/100*refs!B4</f>
        <v>75.05</v>
      </c>
      <c r="F54" s="14">
        <f t="shared" ref="F54:F81" si="3">IF(OR(C54="?",E54&lt;=0), "?", ROUND(E54*(1+(B54+(10-C54))/30),1))</f>
        <v>95.1</v>
      </c>
      <c r="G54" s="16"/>
    </row>
    <row r="55">
      <c r="A55" s="9" t="s">
        <v>31</v>
      </c>
      <c r="B55" s="9">
        <v>4.0</v>
      </c>
      <c r="C55" s="9">
        <v>8.0</v>
      </c>
      <c r="D55" s="9">
        <v>84.0</v>
      </c>
      <c r="E55" s="14">
        <f>D55/100*refs!B4</f>
        <v>79.8</v>
      </c>
      <c r="F55" s="14">
        <f t="shared" si="3"/>
        <v>95.8</v>
      </c>
      <c r="G55" s="20"/>
    </row>
    <row r="56">
      <c r="A56" s="9" t="s">
        <v>31</v>
      </c>
      <c r="B56" s="9">
        <v>4.0</v>
      </c>
      <c r="C56" s="9">
        <v>8.0</v>
      </c>
      <c r="D56" s="9">
        <v>84.0</v>
      </c>
      <c r="E56" s="14">
        <f>D56/100*refs!B4</f>
        <v>79.8</v>
      </c>
      <c r="F56" s="14">
        <f t="shared" si="3"/>
        <v>95.8</v>
      </c>
      <c r="G56" s="20"/>
    </row>
    <row r="57">
      <c r="A57" s="9" t="s">
        <v>31</v>
      </c>
      <c r="B57" s="9">
        <v>4.0</v>
      </c>
      <c r="C57" s="24" t="s">
        <v>20</v>
      </c>
      <c r="D57" s="9">
        <v>78.0</v>
      </c>
      <c r="E57" s="14">
        <f>D57/100*refs!B4</f>
        <v>74.1</v>
      </c>
      <c r="F57" s="27" t="str">
        <f t="shared" si="3"/>
        <v>?</v>
      </c>
      <c r="G57" s="20"/>
    </row>
    <row r="58">
      <c r="A58" s="8" t="s">
        <v>36</v>
      </c>
      <c r="B58" s="8">
        <v>8.0</v>
      </c>
      <c r="C58" s="8">
        <v>8.0</v>
      </c>
      <c r="D58" s="8">
        <v>74.0</v>
      </c>
      <c r="E58" s="11">
        <f>D58/100*refs!B4</f>
        <v>70.3</v>
      </c>
      <c r="F58" s="11">
        <f t="shared" si="3"/>
        <v>93.7</v>
      </c>
      <c r="G58" s="20"/>
    </row>
    <row r="59">
      <c r="A59" s="8" t="s">
        <v>36</v>
      </c>
      <c r="B59" s="8">
        <v>8.0</v>
      </c>
      <c r="C59" s="8">
        <v>8.0</v>
      </c>
      <c r="D59" s="8">
        <v>74.0</v>
      </c>
      <c r="E59" s="11">
        <f>D59/100*refs!B4</f>
        <v>70.3</v>
      </c>
      <c r="F59" s="11">
        <f t="shared" si="3"/>
        <v>93.7</v>
      </c>
      <c r="G59" s="20"/>
    </row>
    <row r="60">
      <c r="A60" s="13" t="s">
        <v>13</v>
      </c>
      <c r="B60" s="13">
        <v>1.0</v>
      </c>
      <c r="C60" s="13">
        <v>5.0</v>
      </c>
      <c r="D60" s="13">
        <v>84.0</v>
      </c>
      <c r="E60" s="28">
        <f>D60/100*refs!B5</f>
        <v>189</v>
      </c>
      <c r="F60" s="28">
        <f t="shared" si="3"/>
        <v>226.8</v>
      </c>
      <c r="G60" s="20"/>
    </row>
    <row r="61">
      <c r="A61" s="13" t="s">
        <v>13</v>
      </c>
      <c r="B61" s="13">
        <v>1.0</v>
      </c>
      <c r="C61" s="13">
        <v>7.0</v>
      </c>
      <c r="D61" s="13">
        <v>90.0</v>
      </c>
      <c r="E61" s="28">
        <f>D61/100*refs!B5</f>
        <v>202.5</v>
      </c>
      <c r="F61" s="28">
        <f t="shared" si="3"/>
        <v>229.5</v>
      </c>
      <c r="G61" s="20"/>
    </row>
    <row r="62">
      <c r="A62" s="13" t="s">
        <v>13</v>
      </c>
      <c r="B62" s="13">
        <v>1.0</v>
      </c>
      <c r="C62" s="13">
        <v>7.0</v>
      </c>
      <c r="D62" s="13">
        <v>90.0</v>
      </c>
      <c r="E62" s="28">
        <f>D62/100*refs!B5</f>
        <v>202.5</v>
      </c>
      <c r="F62" s="28">
        <f t="shared" si="3"/>
        <v>229.5</v>
      </c>
      <c r="G62" s="20"/>
    </row>
    <row r="63">
      <c r="A63" s="13" t="s">
        <v>13</v>
      </c>
      <c r="B63" s="13">
        <v>5.0</v>
      </c>
      <c r="C63" s="13">
        <v>8.0</v>
      </c>
      <c r="D63" s="13">
        <v>82.0</v>
      </c>
      <c r="E63" s="28">
        <f>D63/100*refs!B5</f>
        <v>184.5</v>
      </c>
      <c r="F63" s="28">
        <f t="shared" si="3"/>
        <v>227.6</v>
      </c>
      <c r="G63" s="20"/>
    </row>
    <row r="64">
      <c r="A64" s="13" t="s">
        <v>13</v>
      </c>
      <c r="B64" s="13">
        <v>5.0</v>
      </c>
      <c r="C64" s="24" t="s">
        <v>20</v>
      </c>
      <c r="D64" s="13">
        <v>73.0</v>
      </c>
      <c r="E64" s="28">
        <f>D64/100*refs!B5</f>
        <v>164.25</v>
      </c>
      <c r="F64" s="27" t="str">
        <f t="shared" si="3"/>
        <v>?</v>
      </c>
      <c r="G64" s="20"/>
    </row>
    <row r="65">
      <c r="A65" s="13" t="s">
        <v>13</v>
      </c>
      <c r="B65" s="13">
        <v>5.0</v>
      </c>
      <c r="C65" s="24" t="s">
        <v>20</v>
      </c>
      <c r="D65" s="13">
        <v>73.0</v>
      </c>
      <c r="E65" s="28">
        <f>D65/100*refs!B5</f>
        <v>164.25</v>
      </c>
      <c r="F65" s="27" t="str">
        <f t="shared" si="3"/>
        <v>?</v>
      </c>
      <c r="G65" s="20"/>
    </row>
    <row r="66">
      <c r="A66" s="19" t="str">
        <f>refs!A10</f>
        <v>Pull-ups</v>
      </c>
      <c r="B66" s="19">
        <f>refs!B10</f>
        <v>5</v>
      </c>
      <c r="C66" s="19">
        <v>8.0</v>
      </c>
      <c r="D66" s="31"/>
      <c r="E66" s="19">
        <f>refs!C10</f>
        <v>0</v>
      </c>
      <c r="F66" s="31" t="str">
        <f t="shared" si="3"/>
        <v>?</v>
      </c>
      <c r="G66" s="20"/>
    </row>
    <row r="67">
      <c r="A67" s="19" t="str">
        <f>refs!A10</f>
        <v>Pull-ups</v>
      </c>
      <c r="B67" s="19">
        <f>refs!B10</f>
        <v>5</v>
      </c>
      <c r="C67" s="19">
        <v>8.0</v>
      </c>
      <c r="D67" s="31"/>
      <c r="E67" s="19">
        <f>refs!C10</f>
        <v>0</v>
      </c>
      <c r="F67" s="31" t="str">
        <f t="shared" si="3"/>
        <v>?</v>
      </c>
      <c r="G67" s="20"/>
    </row>
    <row r="68">
      <c r="A68" s="19" t="str">
        <f>refs!A10</f>
        <v>Pull-ups</v>
      </c>
      <c r="B68" s="19">
        <f>refs!B10</f>
        <v>5</v>
      </c>
      <c r="C68" s="19">
        <v>8.0</v>
      </c>
      <c r="D68" s="31"/>
      <c r="E68" s="19">
        <f>refs!C10</f>
        <v>0</v>
      </c>
      <c r="F68" s="31" t="str">
        <f t="shared" si="3"/>
        <v>?</v>
      </c>
      <c r="G68" s="20"/>
    </row>
    <row r="69">
      <c r="A69" s="19" t="str">
        <f>refs!A10</f>
        <v>Pull-ups</v>
      </c>
      <c r="B69" s="19">
        <f>refs!B10</f>
        <v>5</v>
      </c>
      <c r="C69" s="19">
        <v>8.0</v>
      </c>
      <c r="D69" s="31"/>
      <c r="E69" s="19">
        <f>refs!C10</f>
        <v>0</v>
      </c>
      <c r="F69" s="31" t="str">
        <f t="shared" si="3"/>
        <v>?</v>
      </c>
      <c r="G69" s="20"/>
    </row>
    <row r="70">
      <c r="A70" s="21" t="str">
        <f>refs!A11</f>
        <v>Dips</v>
      </c>
      <c r="B70" s="21">
        <f>refs!B11</f>
        <v>8</v>
      </c>
      <c r="C70" s="21">
        <v>8.0</v>
      </c>
      <c r="D70" s="32"/>
      <c r="E70" s="21">
        <f>refs!C11</f>
        <v>0</v>
      </c>
      <c r="F70" s="32" t="str">
        <f t="shared" si="3"/>
        <v>?</v>
      </c>
      <c r="G70" s="20"/>
    </row>
    <row r="71">
      <c r="A71" s="21" t="str">
        <f>refs!A11</f>
        <v>Dips</v>
      </c>
      <c r="B71" s="21">
        <f>refs!B11</f>
        <v>8</v>
      </c>
      <c r="C71" s="21">
        <v>8.0</v>
      </c>
      <c r="D71" s="32"/>
      <c r="E71" s="21">
        <f>refs!C11</f>
        <v>0</v>
      </c>
      <c r="F71" s="32" t="str">
        <f t="shared" si="3"/>
        <v>?</v>
      </c>
      <c r="G71" s="20"/>
    </row>
    <row r="72">
      <c r="A72" s="21" t="str">
        <f>refs!A11</f>
        <v>Dips</v>
      </c>
      <c r="B72" s="21">
        <f>refs!B11</f>
        <v>8</v>
      </c>
      <c r="C72" s="21">
        <v>8.0</v>
      </c>
      <c r="D72" s="32"/>
      <c r="E72" s="21">
        <f>refs!C11</f>
        <v>0</v>
      </c>
      <c r="F72" s="32" t="str">
        <f t="shared" si="3"/>
        <v>?</v>
      </c>
      <c r="G72" s="20"/>
    </row>
    <row r="73">
      <c r="A73" s="21" t="str">
        <f>refs!A11</f>
        <v>Dips</v>
      </c>
      <c r="B73" s="21">
        <f>refs!B11</f>
        <v>8</v>
      </c>
      <c r="C73" s="21">
        <v>8.0</v>
      </c>
      <c r="D73" s="32"/>
      <c r="E73" s="21">
        <f>refs!C11</f>
        <v>0</v>
      </c>
      <c r="F73" s="32" t="str">
        <f t="shared" si="3"/>
        <v>?</v>
      </c>
      <c r="G73" s="33"/>
    </row>
    <row r="74">
      <c r="A74" s="22" t="str">
        <f>refs!A12</f>
        <v>Lateral raises</v>
      </c>
      <c r="B74" s="22">
        <f>refs!B12</f>
        <v>15</v>
      </c>
      <c r="C74" s="22">
        <v>8.0</v>
      </c>
      <c r="D74" s="34"/>
      <c r="E74" s="22">
        <f>refs!C12</f>
        <v>14</v>
      </c>
      <c r="F74" s="34">
        <f t="shared" si="3"/>
        <v>21.9</v>
      </c>
      <c r="G74" s="35">
        <v>2.0</v>
      </c>
    </row>
    <row r="75">
      <c r="A75" s="22" t="str">
        <f>refs!A12</f>
        <v>Lateral raises</v>
      </c>
      <c r="B75" s="22">
        <f>refs!B12</f>
        <v>15</v>
      </c>
      <c r="C75" s="22">
        <v>8.0</v>
      </c>
      <c r="D75" s="34"/>
      <c r="E75" s="22">
        <f>refs!C12</f>
        <v>14</v>
      </c>
      <c r="F75" s="34">
        <f t="shared" si="3"/>
        <v>21.9</v>
      </c>
      <c r="G75" s="20"/>
    </row>
    <row r="76">
      <c r="A76" s="22" t="str">
        <f>refs!A12</f>
        <v>Lateral raises</v>
      </c>
      <c r="B76" s="22">
        <f>refs!B12</f>
        <v>15</v>
      </c>
      <c r="C76" s="22">
        <v>8.0</v>
      </c>
      <c r="D76" s="34"/>
      <c r="E76" s="22">
        <f>refs!C12</f>
        <v>14</v>
      </c>
      <c r="F76" s="34">
        <f t="shared" si="3"/>
        <v>21.9</v>
      </c>
      <c r="G76" s="20"/>
    </row>
    <row r="77">
      <c r="A77" s="22" t="str">
        <f>refs!A12</f>
        <v>Lateral raises</v>
      </c>
      <c r="B77" s="22">
        <f>refs!B12</f>
        <v>15</v>
      </c>
      <c r="C77" s="22">
        <v>8.0</v>
      </c>
      <c r="D77" s="34"/>
      <c r="E77" s="22">
        <f>refs!C12</f>
        <v>14</v>
      </c>
      <c r="F77" s="38">
        <f t="shared" si="3"/>
        <v>21.9</v>
      </c>
      <c r="G77" s="20"/>
    </row>
    <row r="78">
      <c r="A78" s="23" t="str">
        <f>refs!A13</f>
        <v>Strict curl</v>
      </c>
      <c r="B78" s="23">
        <f>refs!B13</f>
        <v>15</v>
      </c>
      <c r="C78" s="23">
        <v>8.0</v>
      </c>
      <c r="D78" s="36"/>
      <c r="E78" s="23">
        <f>refs!C13</f>
        <v>14</v>
      </c>
      <c r="F78" s="36">
        <f t="shared" si="3"/>
        <v>21.9</v>
      </c>
      <c r="G78" s="20"/>
    </row>
    <row r="79">
      <c r="A79" s="23" t="str">
        <f>refs!A13</f>
        <v>Strict curl</v>
      </c>
      <c r="B79" s="23">
        <f>refs!B13</f>
        <v>15</v>
      </c>
      <c r="C79" s="23">
        <v>8.0</v>
      </c>
      <c r="D79" s="36"/>
      <c r="E79" s="23">
        <f>refs!C13</f>
        <v>14</v>
      </c>
      <c r="F79" s="36">
        <f t="shared" si="3"/>
        <v>21.9</v>
      </c>
      <c r="G79" s="20"/>
    </row>
    <row r="80">
      <c r="A80" s="23" t="str">
        <f>refs!A13</f>
        <v>Strict curl</v>
      </c>
      <c r="B80" s="23">
        <f>refs!B13</f>
        <v>15</v>
      </c>
      <c r="C80" s="23">
        <v>8.0</v>
      </c>
      <c r="D80" s="36"/>
      <c r="E80" s="23">
        <f>refs!C13</f>
        <v>14</v>
      </c>
      <c r="F80" s="36">
        <f t="shared" si="3"/>
        <v>21.9</v>
      </c>
      <c r="G80" s="20"/>
    </row>
    <row r="81">
      <c r="A81" s="23" t="str">
        <f>refs!A13</f>
        <v>Strict curl</v>
      </c>
      <c r="B81" s="23">
        <f>refs!B13</f>
        <v>15</v>
      </c>
      <c r="C81" s="23">
        <v>8.0</v>
      </c>
      <c r="D81" s="36"/>
      <c r="E81" s="23">
        <f>refs!C13</f>
        <v>14</v>
      </c>
      <c r="F81" s="42">
        <f t="shared" si="3"/>
        <v>21.9</v>
      </c>
      <c r="G81" s="33"/>
    </row>
    <row r="83">
      <c r="A83" s="1" t="s">
        <v>40</v>
      </c>
      <c r="B83" s="3"/>
      <c r="C83" s="3"/>
      <c r="D83" s="3"/>
      <c r="E83" s="3"/>
      <c r="F83" s="3"/>
      <c r="G83" s="4"/>
    </row>
    <row r="84">
      <c r="A84" s="7" t="s">
        <v>3</v>
      </c>
      <c r="B84" s="7" t="s">
        <v>4</v>
      </c>
      <c r="C84" s="7" t="s">
        <v>5</v>
      </c>
      <c r="D84" s="7" t="s">
        <v>6</v>
      </c>
      <c r="E84" s="7" t="s">
        <v>7</v>
      </c>
      <c r="F84" s="7" t="s">
        <v>8</v>
      </c>
      <c r="G84" s="7" t="s">
        <v>9</v>
      </c>
    </row>
    <row r="85">
      <c r="A85" s="10" t="s">
        <v>11</v>
      </c>
      <c r="B85" s="10">
        <v>1.0</v>
      </c>
      <c r="C85" s="10">
        <v>5.0</v>
      </c>
      <c r="D85" s="10">
        <v>84.0</v>
      </c>
      <c r="E85" s="37">
        <f>D85/100*refs!B3</f>
        <v>100.8</v>
      </c>
      <c r="F85" s="37">
        <f t="shared" ref="F85:F102" si="4">IF(OR(C85="?",E85&lt;=0), "?", ROUND(E85*(1+(B85+(10-C85))/30),1))</f>
        <v>121</v>
      </c>
      <c r="G85" s="16">
        <v>1.0</v>
      </c>
    </row>
    <row r="86">
      <c r="A86" s="10" t="s">
        <v>11</v>
      </c>
      <c r="B86" s="10">
        <v>1.0</v>
      </c>
      <c r="C86" s="10">
        <v>7.0</v>
      </c>
      <c r="D86" s="10">
        <v>90.0</v>
      </c>
      <c r="E86" s="37">
        <f>D86/100*refs!B3</f>
        <v>108</v>
      </c>
      <c r="F86" s="37">
        <f t="shared" si="4"/>
        <v>122.4</v>
      </c>
      <c r="G86" s="20"/>
    </row>
    <row r="87">
      <c r="A87" s="10" t="s">
        <v>11</v>
      </c>
      <c r="B87" s="10">
        <v>5.0</v>
      </c>
      <c r="C87" s="10">
        <v>8.0</v>
      </c>
      <c r="D87" s="10">
        <v>78.0</v>
      </c>
      <c r="E87" s="37">
        <f>D87/100*refs!B3</f>
        <v>93.6</v>
      </c>
      <c r="F87" s="37">
        <f t="shared" si="4"/>
        <v>115.4</v>
      </c>
      <c r="G87" s="20"/>
    </row>
    <row r="88">
      <c r="A88" s="10" t="s">
        <v>11</v>
      </c>
      <c r="B88" s="10">
        <v>5.0</v>
      </c>
      <c r="C88" s="10">
        <v>7.0</v>
      </c>
      <c r="D88" s="10">
        <v>77.0</v>
      </c>
      <c r="E88" s="37">
        <f>D88/100*refs!B3</f>
        <v>92.4</v>
      </c>
      <c r="F88" s="37">
        <f t="shared" si="4"/>
        <v>117</v>
      </c>
      <c r="G88" s="20"/>
    </row>
    <row r="89">
      <c r="A89" s="10" t="s">
        <v>11</v>
      </c>
      <c r="B89" s="10">
        <v>5.0</v>
      </c>
      <c r="C89" s="10">
        <v>7.0</v>
      </c>
      <c r="D89" s="10">
        <v>77.0</v>
      </c>
      <c r="E89" s="37">
        <f>D89/100*refs!B3</f>
        <v>92.4</v>
      </c>
      <c r="F89" s="37">
        <f t="shared" si="4"/>
        <v>117</v>
      </c>
      <c r="G89" s="20"/>
    </row>
    <row r="90">
      <c r="A90" s="9" t="s">
        <v>12</v>
      </c>
      <c r="B90" s="9">
        <v>1.0</v>
      </c>
      <c r="C90" s="9">
        <v>6.0</v>
      </c>
      <c r="D90" s="9">
        <v>87.0</v>
      </c>
      <c r="E90" s="14">
        <f>D90/100*refs!B4</f>
        <v>82.65</v>
      </c>
      <c r="F90" s="14">
        <f t="shared" si="4"/>
        <v>96.4</v>
      </c>
      <c r="G90" s="20"/>
    </row>
    <row r="91">
      <c r="A91" s="9" t="s">
        <v>12</v>
      </c>
      <c r="B91" s="9">
        <v>1.0</v>
      </c>
      <c r="C91" s="9">
        <v>8.0</v>
      </c>
      <c r="D91" s="9">
        <v>93.0</v>
      </c>
      <c r="E91" s="14">
        <f>D91/100*refs!B4</f>
        <v>88.35</v>
      </c>
      <c r="F91" s="14">
        <f t="shared" si="4"/>
        <v>97.2</v>
      </c>
      <c r="G91" s="20"/>
    </row>
    <row r="92">
      <c r="A92" s="9" t="s">
        <v>12</v>
      </c>
      <c r="B92" s="9">
        <v>1.0</v>
      </c>
      <c r="C92" s="9">
        <v>7.0</v>
      </c>
      <c r="D92" s="9">
        <v>90.0</v>
      </c>
      <c r="E92" s="14">
        <f>D92/100*refs!B4</f>
        <v>85.5</v>
      </c>
      <c r="F92" s="14">
        <f t="shared" si="4"/>
        <v>96.9</v>
      </c>
      <c r="G92" s="20"/>
    </row>
    <row r="93">
      <c r="A93" s="8" t="s">
        <v>35</v>
      </c>
      <c r="B93" s="8">
        <v>5.0</v>
      </c>
      <c r="C93" s="8">
        <v>8.0</v>
      </c>
      <c r="D93" s="8">
        <v>82.0</v>
      </c>
      <c r="E93" s="11">
        <f>D93/100*refs!B4</f>
        <v>77.9</v>
      </c>
      <c r="F93" s="11">
        <f t="shared" si="4"/>
        <v>96.1</v>
      </c>
      <c r="G93" s="20"/>
    </row>
    <row r="94">
      <c r="A94" s="8" t="s">
        <v>35</v>
      </c>
      <c r="B94" s="8">
        <v>5.0</v>
      </c>
      <c r="C94" s="8">
        <v>8.0</v>
      </c>
      <c r="D94" s="8">
        <v>82.0</v>
      </c>
      <c r="E94" s="11">
        <f>D94/100*refs!B4</f>
        <v>77.9</v>
      </c>
      <c r="F94" s="11">
        <f t="shared" si="4"/>
        <v>96.1</v>
      </c>
      <c r="G94" s="20"/>
    </row>
    <row r="95">
      <c r="A95" s="25" t="str">
        <f>refs!A14</f>
        <v>Dumbbel rowing</v>
      </c>
      <c r="B95" s="25">
        <f>refs!B14</f>
        <v>8</v>
      </c>
      <c r="C95" s="25">
        <v>8.0</v>
      </c>
      <c r="D95" s="43"/>
      <c r="E95" s="25">
        <f>refs!C14</f>
        <v>46</v>
      </c>
      <c r="F95" s="43">
        <f t="shared" si="4"/>
        <v>61.3</v>
      </c>
      <c r="G95" s="20"/>
    </row>
    <row r="96">
      <c r="A96" s="25" t="str">
        <f>refs!A14</f>
        <v>Dumbbel rowing</v>
      </c>
      <c r="B96" s="25">
        <f>refs!B14</f>
        <v>8</v>
      </c>
      <c r="C96" s="25">
        <v>8.0</v>
      </c>
      <c r="D96" s="43"/>
      <c r="E96" s="25">
        <f>refs!C14</f>
        <v>46</v>
      </c>
      <c r="F96" s="43">
        <f t="shared" si="4"/>
        <v>61.3</v>
      </c>
      <c r="G96" s="20"/>
    </row>
    <row r="97">
      <c r="A97" s="25" t="str">
        <f>refs!A14</f>
        <v>Dumbbel rowing</v>
      </c>
      <c r="B97" s="25">
        <f>refs!B14</f>
        <v>8</v>
      </c>
      <c r="C97" s="25">
        <v>8.0</v>
      </c>
      <c r="D97" s="43"/>
      <c r="E97" s="25">
        <f>refs!C14</f>
        <v>46</v>
      </c>
      <c r="F97" s="43">
        <f t="shared" si="4"/>
        <v>61.3</v>
      </c>
      <c r="G97" s="20"/>
    </row>
    <row r="98">
      <c r="A98" s="25" t="str">
        <f>refs!A14</f>
        <v>Dumbbel rowing</v>
      </c>
      <c r="B98" s="25">
        <f>refs!B14</f>
        <v>8</v>
      </c>
      <c r="C98" s="25">
        <v>8.0</v>
      </c>
      <c r="D98" s="43"/>
      <c r="E98" s="25">
        <f>refs!C14</f>
        <v>46</v>
      </c>
      <c r="F98" s="43">
        <f t="shared" si="4"/>
        <v>61.3</v>
      </c>
      <c r="G98" s="20"/>
    </row>
    <row r="99">
      <c r="A99" s="44" t="str">
        <f>refs!A15</f>
        <v>Hammer curl</v>
      </c>
      <c r="B99" s="44">
        <f>refs!B15</f>
        <v>8</v>
      </c>
      <c r="C99" s="44">
        <v>8.0</v>
      </c>
      <c r="D99" s="45"/>
      <c r="E99" s="44">
        <f>refs!C15</f>
        <v>26</v>
      </c>
      <c r="F99" s="45">
        <f t="shared" si="4"/>
        <v>34.7</v>
      </c>
      <c r="G99" s="20"/>
    </row>
    <row r="100">
      <c r="A100" s="44" t="str">
        <f>refs!A15</f>
        <v>Hammer curl</v>
      </c>
      <c r="B100" s="44">
        <f>refs!B15</f>
        <v>8</v>
      </c>
      <c r="C100" s="44">
        <v>8.0</v>
      </c>
      <c r="D100" s="45"/>
      <c r="E100" s="44">
        <f>refs!C15</f>
        <v>26</v>
      </c>
      <c r="F100" s="45">
        <f t="shared" si="4"/>
        <v>34.7</v>
      </c>
      <c r="G100" s="20"/>
    </row>
    <row r="101">
      <c r="A101" s="44" t="str">
        <f>refs!A15</f>
        <v>Hammer curl</v>
      </c>
      <c r="B101" s="44">
        <f>refs!B15</f>
        <v>8</v>
      </c>
      <c r="C101" s="44">
        <v>8.0</v>
      </c>
      <c r="D101" s="45"/>
      <c r="E101" s="44">
        <f>refs!C15</f>
        <v>26</v>
      </c>
      <c r="F101" s="45">
        <f t="shared" si="4"/>
        <v>34.7</v>
      </c>
      <c r="G101" s="20"/>
    </row>
    <row r="102">
      <c r="A102" s="44" t="str">
        <f>refs!A15</f>
        <v>Hammer curl</v>
      </c>
      <c r="B102" s="44">
        <f>refs!B15</f>
        <v>8</v>
      </c>
      <c r="C102" s="44">
        <v>8.0</v>
      </c>
      <c r="D102" s="45"/>
      <c r="E102" s="44">
        <f>refs!C15</f>
        <v>26</v>
      </c>
      <c r="F102" s="46">
        <f t="shared" si="4"/>
        <v>34.7</v>
      </c>
      <c r="G102" s="33"/>
    </row>
  </sheetData>
  <mergeCells count="10">
    <mergeCell ref="G74:G81"/>
    <mergeCell ref="A83:G83"/>
    <mergeCell ref="G85:G102"/>
    <mergeCell ref="A1:G1"/>
    <mergeCell ref="G3:G20"/>
    <mergeCell ref="G21:G28"/>
    <mergeCell ref="A30:G30"/>
    <mergeCell ref="G32:G50"/>
    <mergeCell ref="A52:G52"/>
    <mergeCell ref="G54:G73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2" t="s">
        <v>2</v>
      </c>
      <c r="B1" s="3"/>
      <c r="C1" s="3"/>
      <c r="D1" s="3"/>
      <c r="E1" s="3"/>
      <c r="F1" s="3"/>
      <c r="G1" s="4"/>
      <c r="H1" s="5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5"/>
    </row>
    <row r="3">
      <c r="A3" s="8" t="s">
        <v>10</v>
      </c>
      <c r="B3" s="8">
        <v>3.0</v>
      </c>
      <c r="C3" s="8">
        <v>6.0</v>
      </c>
      <c r="D3" s="8">
        <v>82.0</v>
      </c>
      <c r="E3" s="11">
        <f>D3/100*refs!B4</f>
        <v>77.9</v>
      </c>
      <c r="F3" s="11">
        <f t="shared" ref="F3:F29" si="1">IF(OR(C3="?",E3&lt;=0), "?", ROUND(E3*(1+(B3+(10-C3))/30),1))</f>
        <v>96.1</v>
      </c>
      <c r="G3" s="16"/>
    </row>
    <row r="4">
      <c r="A4" s="8" t="s">
        <v>10</v>
      </c>
      <c r="B4" s="8">
        <v>3.0</v>
      </c>
      <c r="C4" s="8">
        <v>8.0</v>
      </c>
      <c r="D4" s="8">
        <v>87.0</v>
      </c>
      <c r="E4" s="11">
        <f>D4/100*refs!B4</f>
        <v>82.65</v>
      </c>
      <c r="F4" s="11">
        <f t="shared" si="1"/>
        <v>96.4</v>
      </c>
      <c r="G4" s="20"/>
    </row>
    <row r="5">
      <c r="A5" s="8" t="s">
        <v>10</v>
      </c>
      <c r="B5" s="8">
        <v>3.0</v>
      </c>
      <c r="C5" s="8">
        <v>8.0</v>
      </c>
      <c r="D5" s="8">
        <v>87.0</v>
      </c>
      <c r="E5" s="11">
        <f>D5/100*refs!B4</f>
        <v>82.65</v>
      </c>
      <c r="F5" s="11">
        <f t="shared" si="1"/>
        <v>96.4</v>
      </c>
      <c r="G5" s="20"/>
    </row>
    <row r="6">
      <c r="A6" s="8" t="s">
        <v>10</v>
      </c>
      <c r="B6" s="8">
        <v>3.0</v>
      </c>
      <c r="C6" s="24" t="s">
        <v>20</v>
      </c>
      <c r="D6" s="8">
        <v>82.0</v>
      </c>
      <c r="E6" s="11">
        <f>D6/100*refs!B4</f>
        <v>77.9</v>
      </c>
      <c r="F6" s="27" t="str">
        <f t="shared" si="1"/>
        <v>?</v>
      </c>
      <c r="G6" s="20"/>
    </row>
    <row r="7">
      <c r="A7" s="8" t="s">
        <v>10</v>
      </c>
      <c r="B7" s="8">
        <v>3.0</v>
      </c>
      <c r="C7" s="24" t="s">
        <v>20</v>
      </c>
      <c r="D7" s="8">
        <v>82.0</v>
      </c>
      <c r="E7" s="11">
        <f>D7/100*refs!B4</f>
        <v>77.9</v>
      </c>
      <c r="F7" s="27" t="str">
        <f t="shared" si="1"/>
        <v>?</v>
      </c>
      <c r="G7" s="20"/>
    </row>
    <row r="8">
      <c r="A8" s="13" t="s">
        <v>13</v>
      </c>
      <c r="B8" s="13">
        <v>3.0</v>
      </c>
      <c r="C8" s="13">
        <v>6.0</v>
      </c>
      <c r="D8" s="13">
        <v>82.0</v>
      </c>
      <c r="E8" s="28">
        <f>D8/100*refs!B5</f>
        <v>184.5</v>
      </c>
      <c r="F8" s="28">
        <f t="shared" si="1"/>
        <v>227.6</v>
      </c>
      <c r="G8" s="20"/>
    </row>
    <row r="9">
      <c r="A9" s="13" t="s">
        <v>13</v>
      </c>
      <c r="B9" s="13">
        <v>3.0</v>
      </c>
      <c r="C9" s="13">
        <v>8.0</v>
      </c>
      <c r="D9" s="13">
        <v>87.0</v>
      </c>
      <c r="E9" s="28">
        <f>D9/100*refs!B5</f>
        <v>195.75</v>
      </c>
      <c r="F9" s="28">
        <f t="shared" si="1"/>
        <v>228.4</v>
      </c>
      <c r="G9" s="20"/>
    </row>
    <row r="10">
      <c r="A10" s="13" t="s">
        <v>13</v>
      </c>
      <c r="B10" s="13">
        <v>3.0</v>
      </c>
      <c r="C10" s="13">
        <v>6.0</v>
      </c>
      <c r="D10" s="13">
        <v>82.0</v>
      </c>
      <c r="E10" s="28">
        <f>D10/100*refs!B5</f>
        <v>184.5</v>
      </c>
      <c r="F10" s="28">
        <f t="shared" si="1"/>
        <v>227.6</v>
      </c>
      <c r="G10" s="20"/>
    </row>
    <row r="11">
      <c r="A11" s="29" t="s">
        <v>24</v>
      </c>
      <c r="B11" s="29">
        <v>3.0</v>
      </c>
      <c r="C11" s="29">
        <v>6.0</v>
      </c>
      <c r="D11" s="29">
        <v>75.0</v>
      </c>
      <c r="E11" s="30">
        <f>D11/100*refs!B5</f>
        <v>168.75</v>
      </c>
      <c r="F11" s="30">
        <f t="shared" si="1"/>
        <v>208.1</v>
      </c>
      <c r="G11" s="20"/>
    </row>
    <row r="12">
      <c r="A12" s="29" t="s">
        <v>24</v>
      </c>
      <c r="B12" s="29">
        <v>3.0</v>
      </c>
      <c r="C12" s="29">
        <v>8.0</v>
      </c>
      <c r="D12" s="29">
        <v>81.0</v>
      </c>
      <c r="E12" s="30">
        <f>D12/100*refs!B5</f>
        <v>182.25</v>
      </c>
      <c r="F12" s="30">
        <f t="shared" si="1"/>
        <v>212.6</v>
      </c>
      <c r="G12" s="20"/>
    </row>
    <row r="13">
      <c r="A13" s="29" t="s">
        <v>24</v>
      </c>
      <c r="B13" s="29">
        <v>3.0</v>
      </c>
      <c r="C13" s="29">
        <v>6.0</v>
      </c>
      <c r="D13" s="29">
        <v>75.0</v>
      </c>
      <c r="E13" s="30">
        <f>D13/100*refs!B5</f>
        <v>168.75</v>
      </c>
      <c r="F13" s="30">
        <f t="shared" si="1"/>
        <v>208.1</v>
      </c>
      <c r="G13" s="20"/>
    </row>
    <row r="14">
      <c r="A14" s="19" t="str">
        <f>refs!A10</f>
        <v>Pull-ups</v>
      </c>
      <c r="B14" s="19">
        <f>refs!B10</f>
        <v>5</v>
      </c>
      <c r="C14" s="19">
        <v>8.0</v>
      </c>
      <c r="D14" s="31"/>
      <c r="E14" s="19">
        <f>refs!C10</f>
        <v>0</v>
      </c>
      <c r="F14" s="31" t="str">
        <f t="shared" si="1"/>
        <v>?</v>
      </c>
      <c r="G14" s="20"/>
    </row>
    <row r="15">
      <c r="A15" s="19" t="str">
        <f>refs!A10</f>
        <v>Pull-ups</v>
      </c>
      <c r="B15" s="19">
        <f>refs!B10</f>
        <v>5</v>
      </c>
      <c r="C15" s="19">
        <v>8.0</v>
      </c>
      <c r="D15" s="31"/>
      <c r="E15" s="19">
        <f>refs!C10</f>
        <v>0</v>
      </c>
      <c r="F15" s="31" t="str">
        <f t="shared" si="1"/>
        <v>?</v>
      </c>
      <c r="G15" s="20"/>
    </row>
    <row r="16">
      <c r="A16" s="19" t="str">
        <f>refs!A10</f>
        <v>Pull-ups</v>
      </c>
      <c r="B16" s="19">
        <f>refs!B10</f>
        <v>5</v>
      </c>
      <c r="C16" s="19">
        <v>8.0</v>
      </c>
      <c r="D16" s="31"/>
      <c r="E16" s="19">
        <f>refs!C10</f>
        <v>0</v>
      </c>
      <c r="F16" s="31" t="str">
        <f t="shared" si="1"/>
        <v>?</v>
      </c>
      <c r="G16" s="20"/>
    </row>
    <row r="17">
      <c r="A17" s="19" t="str">
        <f>refs!A10</f>
        <v>Pull-ups</v>
      </c>
      <c r="B17" s="19">
        <f>refs!B10</f>
        <v>5</v>
      </c>
      <c r="C17" s="19">
        <v>8.0</v>
      </c>
      <c r="D17" s="31"/>
      <c r="E17" s="19">
        <f>refs!C10</f>
        <v>0</v>
      </c>
      <c r="F17" s="31" t="str">
        <f t="shared" si="1"/>
        <v>?</v>
      </c>
      <c r="G17" s="20"/>
    </row>
    <row r="18">
      <c r="A18" s="21" t="str">
        <f>refs!A11</f>
        <v>Dips</v>
      </c>
      <c r="B18" s="21">
        <f>refs!B11</f>
        <v>8</v>
      </c>
      <c r="C18" s="21">
        <v>8.0</v>
      </c>
      <c r="D18" s="32"/>
      <c r="E18" s="21">
        <f>refs!C11</f>
        <v>0</v>
      </c>
      <c r="F18" s="32" t="str">
        <f t="shared" si="1"/>
        <v>?</v>
      </c>
      <c r="G18" s="20"/>
    </row>
    <row r="19">
      <c r="A19" s="21" t="str">
        <f>refs!A11</f>
        <v>Dips</v>
      </c>
      <c r="B19" s="21">
        <f>refs!B11</f>
        <v>8</v>
      </c>
      <c r="C19" s="21">
        <v>8.0</v>
      </c>
      <c r="D19" s="32"/>
      <c r="E19" s="21">
        <f>refs!C11</f>
        <v>0</v>
      </c>
      <c r="F19" s="32" t="str">
        <f t="shared" si="1"/>
        <v>?</v>
      </c>
      <c r="G19" s="20"/>
    </row>
    <row r="20">
      <c r="A20" s="21" t="str">
        <f>refs!A11</f>
        <v>Dips</v>
      </c>
      <c r="B20" s="21">
        <f>refs!B11</f>
        <v>8</v>
      </c>
      <c r="C20" s="21">
        <v>8.0</v>
      </c>
      <c r="D20" s="32"/>
      <c r="E20" s="21">
        <f>refs!C11</f>
        <v>0</v>
      </c>
      <c r="F20" s="32" t="str">
        <f t="shared" si="1"/>
        <v>?</v>
      </c>
      <c r="G20" s="20"/>
    </row>
    <row r="21">
      <c r="A21" s="21" t="str">
        <f>refs!A11</f>
        <v>Dips</v>
      </c>
      <c r="B21" s="21">
        <f>refs!B11</f>
        <v>8</v>
      </c>
      <c r="C21" s="21">
        <v>8.0</v>
      </c>
      <c r="D21" s="32"/>
      <c r="E21" s="21">
        <f>refs!C11</f>
        <v>0</v>
      </c>
      <c r="F21" s="32" t="str">
        <f t="shared" si="1"/>
        <v>?</v>
      </c>
      <c r="G21" s="33"/>
    </row>
    <row r="22">
      <c r="A22" s="22" t="str">
        <f>refs!A12</f>
        <v>Lateral raises</v>
      </c>
      <c r="B22" s="22">
        <f>refs!B12</f>
        <v>15</v>
      </c>
      <c r="C22" s="22">
        <v>8.0</v>
      </c>
      <c r="D22" s="34"/>
      <c r="E22" s="22">
        <f>refs!C12</f>
        <v>14</v>
      </c>
      <c r="F22" s="34">
        <f t="shared" si="1"/>
        <v>21.9</v>
      </c>
      <c r="G22" s="35">
        <v>2.0</v>
      </c>
    </row>
    <row r="23">
      <c r="A23" s="22" t="str">
        <f>refs!A12</f>
        <v>Lateral raises</v>
      </c>
      <c r="B23" s="22">
        <f>refs!B12</f>
        <v>15</v>
      </c>
      <c r="C23" s="22">
        <v>8.0</v>
      </c>
      <c r="D23" s="34"/>
      <c r="E23" s="22">
        <f>refs!C12</f>
        <v>14</v>
      </c>
      <c r="F23" s="34">
        <f t="shared" si="1"/>
        <v>21.9</v>
      </c>
      <c r="G23" s="20"/>
    </row>
    <row r="24">
      <c r="A24" s="22" t="str">
        <f>refs!A12</f>
        <v>Lateral raises</v>
      </c>
      <c r="B24" s="22">
        <f>refs!B12</f>
        <v>15</v>
      </c>
      <c r="C24" s="22">
        <v>8.0</v>
      </c>
      <c r="D24" s="34"/>
      <c r="E24" s="22">
        <f>refs!C12</f>
        <v>14</v>
      </c>
      <c r="F24" s="34">
        <f t="shared" si="1"/>
        <v>21.9</v>
      </c>
      <c r="G24" s="20"/>
    </row>
    <row r="25">
      <c r="A25" s="22" t="str">
        <f>refs!A12</f>
        <v>Lateral raises</v>
      </c>
      <c r="B25" s="22">
        <f>refs!B12</f>
        <v>15</v>
      </c>
      <c r="C25" s="22">
        <v>8.0</v>
      </c>
      <c r="D25" s="34"/>
      <c r="E25" s="22">
        <f>refs!C12</f>
        <v>14</v>
      </c>
      <c r="F25" s="34">
        <f t="shared" si="1"/>
        <v>21.9</v>
      </c>
      <c r="G25" s="20"/>
    </row>
    <row r="26">
      <c r="A26" s="23" t="str">
        <f>refs!A13</f>
        <v>Strict curl</v>
      </c>
      <c r="B26" s="23">
        <f>refs!B13</f>
        <v>15</v>
      </c>
      <c r="C26" s="23">
        <v>8.0</v>
      </c>
      <c r="D26" s="36"/>
      <c r="E26" s="23">
        <f>refs!C13</f>
        <v>14</v>
      </c>
      <c r="F26" s="36">
        <f t="shared" si="1"/>
        <v>21.9</v>
      </c>
      <c r="G26" s="20"/>
    </row>
    <row r="27">
      <c r="A27" s="23" t="str">
        <f>refs!A13</f>
        <v>Strict curl</v>
      </c>
      <c r="B27" s="23">
        <f>refs!B13</f>
        <v>15</v>
      </c>
      <c r="C27" s="23">
        <v>8.0</v>
      </c>
      <c r="D27" s="36"/>
      <c r="E27" s="23">
        <f>refs!C13</f>
        <v>14</v>
      </c>
      <c r="F27" s="36">
        <f t="shared" si="1"/>
        <v>21.9</v>
      </c>
      <c r="G27" s="20"/>
    </row>
    <row r="28">
      <c r="A28" s="23" t="str">
        <f>refs!A13</f>
        <v>Strict curl</v>
      </c>
      <c r="B28" s="23">
        <f>refs!B13</f>
        <v>15</v>
      </c>
      <c r="C28" s="23">
        <v>8.0</v>
      </c>
      <c r="D28" s="36"/>
      <c r="E28" s="23">
        <f>refs!C13</f>
        <v>14</v>
      </c>
      <c r="F28" s="36">
        <f t="shared" si="1"/>
        <v>21.9</v>
      </c>
      <c r="G28" s="20"/>
    </row>
    <row r="29">
      <c r="A29" s="23" t="str">
        <f>refs!A13</f>
        <v>Strict curl</v>
      </c>
      <c r="B29" s="23">
        <f>refs!B13</f>
        <v>15</v>
      </c>
      <c r="C29" s="23">
        <v>8.0</v>
      </c>
      <c r="D29" s="36"/>
      <c r="E29" s="23">
        <f>refs!C13</f>
        <v>14</v>
      </c>
      <c r="F29" s="36">
        <f t="shared" si="1"/>
        <v>21.9</v>
      </c>
      <c r="G29" s="33"/>
    </row>
    <row r="31">
      <c r="A31" s="1" t="s">
        <v>26</v>
      </c>
      <c r="B31" s="3"/>
      <c r="C31" s="3"/>
      <c r="D31" s="3"/>
      <c r="E31" s="3"/>
      <c r="F31" s="3"/>
      <c r="G31" s="4"/>
    </row>
    <row r="32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</row>
    <row r="33">
      <c r="A33" s="10" t="s">
        <v>11</v>
      </c>
      <c r="B33" s="10">
        <v>3.0</v>
      </c>
      <c r="C33" s="10">
        <v>6.0</v>
      </c>
      <c r="D33" s="10">
        <v>82.0</v>
      </c>
      <c r="E33" s="37">
        <f>D33/100*refs!B3</f>
        <v>98.4</v>
      </c>
      <c r="F33" s="37">
        <f t="shared" ref="F33:F52" si="2">IF(OR(C33="?",E33&lt;=0), "?", ROUND(E33*(1+(B33+(10-C33))/30),1))</f>
        <v>121.4</v>
      </c>
      <c r="G33" s="16">
        <v>1.0</v>
      </c>
    </row>
    <row r="34">
      <c r="A34" s="10" t="s">
        <v>11</v>
      </c>
      <c r="B34" s="10">
        <v>3.0</v>
      </c>
      <c r="C34" s="10">
        <v>8.0</v>
      </c>
      <c r="D34" s="10">
        <v>87.0</v>
      </c>
      <c r="E34" s="37">
        <f>D34/100*refs!B3</f>
        <v>104.4</v>
      </c>
      <c r="F34" s="37">
        <f t="shared" si="2"/>
        <v>121.8</v>
      </c>
      <c r="G34" s="20"/>
    </row>
    <row r="35">
      <c r="A35" s="10" t="s">
        <v>11</v>
      </c>
      <c r="B35" s="10">
        <v>3.0</v>
      </c>
      <c r="C35" s="10">
        <v>7.0</v>
      </c>
      <c r="D35" s="10">
        <v>84.0</v>
      </c>
      <c r="E35" s="37">
        <f>D35/100*refs!B3</f>
        <v>100.8</v>
      </c>
      <c r="F35" s="37">
        <f t="shared" si="2"/>
        <v>121</v>
      </c>
      <c r="G35" s="20"/>
    </row>
    <row r="36">
      <c r="A36" s="10" t="s">
        <v>11</v>
      </c>
      <c r="B36" s="10">
        <v>3.0</v>
      </c>
      <c r="C36" s="10">
        <v>7.0</v>
      </c>
      <c r="D36" s="10">
        <v>84.0</v>
      </c>
      <c r="E36" s="37">
        <f>D36/100*refs!B3</f>
        <v>100.8</v>
      </c>
      <c r="F36" s="37">
        <f t="shared" si="2"/>
        <v>121</v>
      </c>
      <c r="G36" s="20"/>
    </row>
    <row r="37">
      <c r="A37" s="39" t="s">
        <v>28</v>
      </c>
      <c r="B37" s="39">
        <v>5.0</v>
      </c>
      <c r="C37" s="39">
        <v>7.0</v>
      </c>
      <c r="D37" s="39">
        <v>77.0</v>
      </c>
      <c r="E37" s="40">
        <f>D37/100*refs!B3</f>
        <v>92.4</v>
      </c>
      <c r="F37" s="37">
        <f t="shared" si="2"/>
        <v>117</v>
      </c>
      <c r="G37" s="20"/>
    </row>
    <row r="38">
      <c r="A38" s="39" t="s">
        <v>28</v>
      </c>
      <c r="B38" s="39">
        <v>5.0</v>
      </c>
      <c r="C38" s="39">
        <v>7.0</v>
      </c>
      <c r="D38" s="39">
        <v>77.0</v>
      </c>
      <c r="E38" s="40">
        <f>D38/100*refs!B3</f>
        <v>92.4</v>
      </c>
      <c r="F38" s="37">
        <f t="shared" si="2"/>
        <v>117</v>
      </c>
      <c r="G38" s="20"/>
    </row>
    <row r="39">
      <c r="A39" s="39" t="s">
        <v>28</v>
      </c>
      <c r="B39" s="39">
        <v>5.0</v>
      </c>
      <c r="C39" s="39">
        <v>7.0</v>
      </c>
      <c r="D39" s="39">
        <v>77.0</v>
      </c>
      <c r="E39" s="40">
        <f>D39/100*refs!B3</f>
        <v>92.4</v>
      </c>
      <c r="F39" s="37">
        <f t="shared" si="2"/>
        <v>117</v>
      </c>
      <c r="G39" s="20"/>
    </row>
    <row r="40">
      <c r="A40" s="12" t="s">
        <v>12</v>
      </c>
      <c r="B40" s="12">
        <v>7.0</v>
      </c>
      <c r="C40" s="12">
        <v>6.0</v>
      </c>
      <c r="D40" s="12">
        <v>71.0</v>
      </c>
      <c r="E40" s="41">
        <f>D40/100*refs!B4</f>
        <v>67.45</v>
      </c>
      <c r="F40" s="41">
        <f t="shared" si="2"/>
        <v>92.2</v>
      </c>
      <c r="G40" s="20"/>
    </row>
    <row r="41">
      <c r="A41" s="12" t="s">
        <v>12</v>
      </c>
      <c r="B41" s="12">
        <v>7.0</v>
      </c>
      <c r="C41" s="12">
        <v>8.0</v>
      </c>
      <c r="D41" s="12">
        <v>77.0</v>
      </c>
      <c r="E41" s="41">
        <f>D41/100*refs!B4</f>
        <v>73.15</v>
      </c>
      <c r="F41" s="41">
        <f t="shared" si="2"/>
        <v>95.1</v>
      </c>
      <c r="G41" s="20"/>
    </row>
    <row r="42">
      <c r="A42" s="12" t="s">
        <v>12</v>
      </c>
      <c r="B42" s="12">
        <v>7.0</v>
      </c>
      <c r="C42" s="24" t="s">
        <v>20</v>
      </c>
      <c r="D42" s="12">
        <v>71.0</v>
      </c>
      <c r="E42" s="41">
        <f>D42/100*refs!B4</f>
        <v>67.45</v>
      </c>
      <c r="F42" s="27" t="str">
        <f t="shared" si="2"/>
        <v>?</v>
      </c>
      <c r="G42" s="20"/>
    </row>
    <row r="43">
      <c r="A43" s="12" t="s">
        <v>12</v>
      </c>
      <c r="B43" s="12">
        <v>7.0</v>
      </c>
      <c r="C43" s="24" t="s">
        <v>20</v>
      </c>
      <c r="D43" s="12">
        <v>66.0</v>
      </c>
      <c r="E43" s="41">
        <f>D43/100*refs!B4</f>
        <v>62.7</v>
      </c>
      <c r="F43" s="27" t="str">
        <f t="shared" si="2"/>
        <v>?</v>
      </c>
      <c r="G43" s="20"/>
    </row>
    <row r="44">
      <c r="A44" s="12" t="s">
        <v>12</v>
      </c>
      <c r="B44" s="12">
        <v>7.0</v>
      </c>
      <c r="C44" s="24" t="s">
        <v>20</v>
      </c>
      <c r="D44" s="12">
        <v>66.0</v>
      </c>
      <c r="E44" s="41">
        <f>D44/100*refs!B4</f>
        <v>62.7</v>
      </c>
      <c r="F44" s="27" t="str">
        <f t="shared" si="2"/>
        <v>?</v>
      </c>
      <c r="G44" s="20"/>
    </row>
    <row r="45">
      <c r="A45" s="25" t="str">
        <f>refs!A14</f>
        <v>Dumbbel rowing</v>
      </c>
      <c r="B45" s="25">
        <f>refs!B14</f>
        <v>8</v>
      </c>
      <c r="C45" s="25">
        <v>8.0</v>
      </c>
      <c r="D45" s="43"/>
      <c r="E45" s="25">
        <f>refs!C14</f>
        <v>46</v>
      </c>
      <c r="F45" s="43">
        <f t="shared" si="2"/>
        <v>61.3</v>
      </c>
      <c r="G45" s="20"/>
    </row>
    <row r="46">
      <c r="A46" s="25" t="str">
        <f>refs!A14</f>
        <v>Dumbbel rowing</v>
      </c>
      <c r="B46" s="25">
        <f>refs!B14</f>
        <v>8</v>
      </c>
      <c r="C46" s="25">
        <v>8.0</v>
      </c>
      <c r="D46" s="43"/>
      <c r="E46" s="25">
        <f>refs!C14</f>
        <v>46</v>
      </c>
      <c r="F46" s="43">
        <f t="shared" si="2"/>
        <v>61.3</v>
      </c>
      <c r="G46" s="20"/>
    </row>
    <row r="47">
      <c r="A47" s="25" t="str">
        <f>refs!A14</f>
        <v>Dumbbel rowing</v>
      </c>
      <c r="B47" s="25">
        <f>refs!B14</f>
        <v>8</v>
      </c>
      <c r="C47" s="25">
        <v>8.0</v>
      </c>
      <c r="D47" s="43"/>
      <c r="E47" s="25">
        <f>refs!C14</f>
        <v>46</v>
      </c>
      <c r="F47" s="43">
        <f t="shared" si="2"/>
        <v>61.3</v>
      </c>
      <c r="G47" s="20"/>
    </row>
    <row r="48">
      <c r="A48" s="25" t="str">
        <f>refs!A14</f>
        <v>Dumbbel rowing</v>
      </c>
      <c r="B48" s="25">
        <f>refs!B14</f>
        <v>8</v>
      </c>
      <c r="C48" s="25">
        <v>8.0</v>
      </c>
      <c r="D48" s="43"/>
      <c r="E48" s="25">
        <f>refs!C14</f>
        <v>46</v>
      </c>
      <c r="F48" s="43">
        <f t="shared" si="2"/>
        <v>61.3</v>
      </c>
      <c r="G48" s="20"/>
    </row>
    <row r="49">
      <c r="A49" s="44" t="str">
        <f>refs!A15</f>
        <v>Hammer curl</v>
      </c>
      <c r="B49" s="44">
        <f>refs!B15</f>
        <v>8</v>
      </c>
      <c r="C49" s="44">
        <v>8.0</v>
      </c>
      <c r="D49" s="45"/>
      <c r="E49" s="44">
        <f>refs!C15</f>
        <v>26</v>
      </c>
      <c r="F49" s="45">
        <f t="shared" si="2"/>
        <v>34.7</v>
      </c>
      <c r="G49" s="20"/>
    </row>
    <row r="50">
      <c r="A50" s="44" t="str">
        <f>refs!A15</f>
        <v>Hammer curl</v>
      </c>
      <c r="B50" s="44">
        <f>refs!B15</f>
        <v>8</v>
      </c>
      <c r="C50" s="44">
        <v>8.0</v>
      </c>
      <c r="D50" s="45"/>
      <c r="E50" s="44">
        <f>refs!C15</f>
        <v>26</v>
      </c>
      <c r="F50" s="45">
        <f t="shared" si="2"/>
        <v>34.7</v>
      </c>
      <c r="G50" s="20"/>
    </row>
    <row r="51">
      <c r="A51" s="44" t="str">
        <f>refs!A15</f>
        <v>Hammer curl</v>
      </c>
      <c r="B51" s="44">
        <f>refs!B15</f>
        <v>8</v>
      </c>
      <c r="C51" s="44">
        <v>8.0</v>
      </c>
      <c r="D51" s="45"/>
      <c r="E51" s="44">
        <f>refs!C15</f>
        <v>26</v>
      </c>
      <c r="F51" s="45">
        <f t="shared" si="2"/>
        <v>34.7</v>
      </c>
      <c r="G51" s="20"/>
    </row>
    <row r="52">
      <c r="A52" s="44" t="str">
        <f>refs!A15</f>
        <v>Hammer curl</v>
      </c>
      <c r="B52" s="44">
        <f>refs!B15</f>
        <v>8</v>
      </c>
      <c r="C52" s="44">
        <v>8.0</v>
      </c>
      <c r="D52" s="45"/>
      <c r="E52" s="44">
        <f>refs!C15</f>
        <v>26</v>
      </c>
      <c r="F52" s="46">
        <f t="shared" si="2"/>
        <v>34.7</v>
      </c>
      <c r="G52" s="33"/>
    </row>
    <row r="54">
      <c r="A54" s="1">
        <f>refs!C12</f>
        <v>14</v>
      </c>
      <c r="B54" s="3"/>
      <c r="C54" s="3"/>
      <c r="D54" s="3"/>
      <c r="E54" s="3"/>
      <c r="F54" s="3"/>
      <c r="G54" s="4"/>
    </row>
    <row r="55">
      <c r="A55" s="7" t="s">
        <v>3</v>
      </c>
      <c r="B55" s="7" t="s">
        <v>4</v>
      </c>
      <c r="C55" s="7" t="s">
        <v>5</v>
      </c>
      <c r="D55" s="7" t="s">
        <v>6</v>
      </c>
      <c r="E55" s="7" t="s">
        <v>7</v>
      </c>
      <c r="F55" s="7" t="s">
        <v>8</v>
      </c>
      <c r="G55" s="7" t="s">
        <v>9</v>
      </c>
    </row>
    <row r="56">
      <c r="A56" s="8" t="s">
        <v>31</v>
      </c>
      <c r="B56" s="8">
        <v>4.0</v>
      </c>
      <c r="C56" s="8">
        <v>6.0</v>
      </c>
      <c r="D56" s="8">
        <v>79.0</v>
      </c>
      <c r="E56" s="11">
        <f>D56/100*refs!B4</f>
        <v>75.05</v>
      </c>
      <c r="F56" s="11">
        <f t="shared" ref="F56:F82" si="3">IF(OR(C56="?",E56&lt;=0), "?", ROUND(E56*(1+(B56+(10-C56))/30),1))</f>
        <v>95.1</v>
      </c>
      <c r="G56" s="16"/>
    </row>
    <row r="57">
      <c r="A57" s="8" t="s">
        <v>31</v>
      </c>
      <c r="B57" s="8">
        <v>4.0</v>
      </c>
      <c r="C57" s="8">
        <v>8.0</v>
      </c>
      <c r="D57" s="8">
        <v>84.0</v>
      </c>
      <c r="E57" s="11">
        <f>D57/100*refs!B4</f>
        <v>79.8</v>
      </c>
      <c r="F57" s="11">
        <f t="shared" si="3"/>
        <v>95.8</v>
      </c>
      <c r="G57" s="20"/>
    </row>
    <row r="58">
      <c r="A58" s="8" t="s">
        <v>31</v>
      </c>
      <c r="B58" s="8">
        <v>4.0</v>
      </c>
      <c r="C58" s="8">
        <v>7.0</v>
      </c>
      <c r="D58" s="8">
        <v>78.0</v>
      </c>
      <c r="E58" s="11">
        <f>D58/100*refs!B4</f>
        <v>74.1</v>
      </c>
      <c r="F58" s="11">
        <f t="shared" si="3"/>
        <v>91.4</v>
      </c>
      <c r="G58" s="20"/>
    </row>
    <row r="59">
      <c r="A59" s="8" t="s">
        <v>31</v>
      </c>
      <c r="B59" s="8">
        <v>4.0</v>
      </c>
      <c r="C59" s="8" t="s">
        <v>20</v>
      </c>
      <c r="D59" s="8">
        <v>78.0</v>
      </c>
      <c r="E59" s="11">
        <f>D59/100*refs!B4</f>
        <v>74.1</v>
      </c>
      <c r="F59" s="11" t="str">
        <f t="shared" si="3"/>
        <v>?</v>
      </c>
      <c r="G59" s="20"/>
    </row>
    <row r="60">
      <c r="A60" s="8" t="s">
        <v>31</v>
      </c>
      <c r="B60" s="8">
        <v>8.0</v>
      </c>
      <c r="C60" s="8">
        <v>8.0</v>
      </c>
      <c r="D60" s="8">
        <v>74.0</v>
      </c>
      <c r="E60" s="11">
        <f>D60/100*refs!B4</f>
        <v>70.3</v>
      </c>
      <c r="F60" s="11">
        <f t="shared" si="3"/>
        <v>93.7</v>
      </c>
      <c r="G60" s="20"/>
    </row>
    <row r="61">
      <c r="A61" s="8" t="s">
        <v>31</v>
      </c>
      <c r="B61" s="8">
        <v>8.0</v>
      </c>
      <c r="C61" s="8">
        <v>8.0</v>
      </c>
      <c r="D61" s="8">
        <v>74.0</v>
      </c>
      <c r="E61" s="11">
        <f>D61/100*refs!B4</f>
        <v>70.3</v>
      </c>
      <c r="F61" s="11">
        <f t="shared" si="3"/>
        <v>93.7</v>
      </c>
      <c r="G61" s="20"/>
    </row>
    <row r="62">
      <c r="A62" s="13" t="s">
        <v>13</v>
      </c>
      <c r="B62" s="13">
        <v>1.0</v>
      </c>
      <c r="C62" s="13">
        <v>6.0</v>
      </c>
      <c r="D62" s="13">
        <v>87.0</v>
      </c>
      <c r="E62" s="28">
        <f>D62/100*refs!B5</f>
        <v>195.75</v>
      </c>
      <c r="F62" s="28">
        <f t="shared" si="3"/>
        <v>228.4</v>
      </c>
      <c r="G62" s="20"/>
    </row>
    <row r="63">
      <c r="A63" s="13" t="s">
        <v>13</v>
      </c>
      <c r="B63" s="13">
        <v>1.0</v>
      </c>
      <c r="C63" s="13">
        <v>8.0</v>
      </c>
      <c r="D63" s="13">
        <v>93.0</v>
      </c>
      <c r="E63" s="28">
        <f>D63/100*refs!B5</f>
        <v>209.25</v>
      </c>
      <c r="F63" s="28">
        <f t="shared" si="3"/>
        <v>230.2</v>
      </c>
      <c r="G63" s="20"/>
    </row>
    <row r="64">
      <c r="A64" s="13" t="s">
        <v>13</v>
      </c>
      <c r="B64" s="13">
        <v>5.0</v>
      </c>
      <c r="C64" s="13">
        <v>8.0</v>
      </c>
      <c r="D64" s="13">
        <v>82.0</v>
      </c>
      <c r="E64" s="28">
        <f>D64/100*refs!B5</f>
        <v>184.5</v>
      </c>
      <c r="F64" s="28">
        <f t="shared" si="3"/>
        <v>227.6</v>
      </c>
      <c r="G64" s="20"/>
    </row>
    <row r="65">
      <c r="A65" s="13" t="s">
        <v>13</v>
      </c>
      <c r="B65" s="13">
        <v>5.0</v>
      </c>
      <c r="C65" s="24" t="s">
        <v>20</v>
      </c>
      <c r="D65" s="13">
        <v>73.0</v>
      </c>
      <c r="E65" s="28">
        <f>D65/100*refs!B5</f>
        <v>164.25</v>
      </c>
      <c r="F65" s="27" t="str">
        <f t="shared" si="3"/>
        <v>?</v>
      </c>
      <c r="G65" s="20"/>
    </row>
    <row r="66">
      <c r="A66" s="13" t="s">
        <v>13</v>
      </c>
      <c r="B66" s="13">
        <v>5.0</v>
      </c>
      <c r="C66" s="24" t="s">
        <v>20</v>
      </c>
      <c r="D66" s="13">
        <v>73.0</v>
      </c>
      <c r="E66" s="28">
        <f>D66/100*refs!B5</f>
        <v>164.25</v>
      </c>
      <c r="F66" s="27" t="str">
        <f t="shared" si="3"/>
        <v>?</v>
      </c>
      <c r="G66" s="20"/>
    </row>
    <row r="67">
      <c r="A67" s="19" t="str">
        <f>refs!A10</f>
        <v>Pull-ups</v>
      </c>
      <c r="B67" s="19">
        <f>refs!B10</f>
        <v>5</v>
      </c>
      <c r="C67" s="19">
        <v>8.0</v>
      </c>
      <c r="D67" s="31"/>
      <c r="E67" s="19">
        <f>refs!C10</f>
        <v>0</v>
      </c>
      <c r="F67" s="31" t="str">
        <f t="shared" si="3"/>
        <v>?</v>
      </c>
      <c r="G67" s="20"/>
    </row>
    <row r="68">
      <c r="A68" s="19" t="str">
        <f>refs!A10</f>
        <v>Pull-ups</v>
      </c>
      <c r="B68" s="19">
        <f>refs!B10</f>
        <v>5</v>
      </c>
      <c r="C68" s="19">
        <v>8.0</v>
      </c>
      <c r="D68" s="31"/>
      <c r="E68" s="19">
        <f>refs!C10</f>
        <v>0</v>
      </c>
      <c r="F68" s="31" t="str">
        <f t="shared" si="3"/>
        <v>?</v>
      </c>
      <c r="G68" s="20"/>
    </row>
    <row r="69">
      <c r="A69" s="19" t="str">
        <f>refs!A10</f>
        <v>Pull-ups</v>
      </c>
      <c r="B69" s="19">
        <f>refs!B10</f>
        <v>5</v>
      </c>
      <c r="C69" s="19">
        <v>8.0</v>
      </c>
      <c r="D69" s="31"/>
      <c r="E69" s="19">
        <f>refs!C10</f>
        <v>0</v>
      </c>
      <c r="F69" s="31" t="str">
        <f t="shared" si="3"/>
        <v>?</v>
      </c>
      <c r="G69" s="20"/>
    </row>
    <row r="70">
      <c r="A70" s="19" t="str">
        <f>refs!A10</f>
        <v>Pull-ups</v>
      </c>
      <c r="B70" s="19">
        <f>refs!B10</f>
        <v>5</v>
      </c>
      <c r="C70" s="19">
        <v>8.0</v>
      </c>
      <c r="D70" s="31"/>
      <c r="E70" s="19">
        <f>refs!C10</f>
        <v>0</v>
      </c>
      <c r="F70" s="31" t="str">
        <f t="shared" si="3"/>
        <v>?</v>
      </c>
      <c r="G70" s="20"/>
    </row>
    <row r="71">
      <c r="A71" s="21" t="str">
        <f>refs!A11</f>
        <v>Dips</v>
      </c>
      <c r="B71" s="21">
        <f>refs!B11</f>
        <v>8</v>
      </c>
      <c r="C71" s="21">
        <v>8.0</v>
      </c>
      <c r="D71" s="32"/>
      <c r="E71" s="21">
        <f>refs!C11</f>
        <v>0</v>
      </c>
      <c r="F71" s="32" t="str">
        <f t="shared" si="3"/>
        <v>?</v>
      </c>
      <c r="G71" s="20"/>
    </row>
    <row r="72">
      <c r="A72" s="21" t="str">
        <f>refs!A11</f>
        <v>Dips</v>
      </c>
      <c r="B72" s="21">
        <f>refs!B11</f>
        <v>8</v>
      </c>
      <c r="C72" s="21">
        <v>8.0</v>
      </c>
      <c r="D72" s="32"/>
      <c r="E72" s="21">
        <f>refs!C11</f>
        <v>0</v>
      </c>
      <c r="F72" s="32" t="str">
        <f t="shared" si="3"/>
        <v>?</v>
      </c>
      <c r="G72" s="20"/>
    </row>
    <row r="73">
      <c r="A73" s="21" t="str">
        <f>refs!A11</f>
        <v>Dips</v>
      </c>
      <c r="B73" s="21">
        <f>refs!B11</f>
        <v>8</v>
      </c>
      <c r="C73" s="21">
        <v>8.0</v>
      </c>
      <c r="D73" s="32"/>
      <c r="E73" s="21">
        <f>refs!C11</f>
        <v>0</v>
      </c>
      <c r="F73" s="32" t="str">
        <f t="shared" si="3"/>
        <v>?</v>
      </c>
      <c r="G73" s="20"/>
    </row>
    <row r="74">
      <c r="A74" s="21" t="str">
        <f>refs!A11</f>
        <v>Dips</v>
      </c>
      <c r="B74" s="21">
        <f>refs!B11</f>
        <v>8</v>
      </c>
      <c r="C74" s="21">
        <v>8.0</v>
      </c>
      <c r="D74" s="32"/>
      <c r="E74" s="21">
        <f>refs!C11</f>
        <v>0</v>
      </c>
      <c r="F74" s="32" t="str">
        <f t="shared" si="3"/>
        <v>?</v>
      </c>
      <c r="G74" s="33"/>
    </row>
    <row r="75">
      <c r="A75" s="22" t="str">
        <f>refs!A12</f>
        <v>Lateral raises</v>
      </c>
      <c r="B75" s="22">
        <f>refs!B12</f>
        <v>15</v>
      </c>
      <c r="C75" s="22">
        <v>8.0</v>
      </c>
      <c r="D75" s="34"/>
      <c r="E75" s="22">
        <f>refs!C12</f>
        <v>14</v>
      </c>
      <c r="F75" s="34">
        <f t="shared" si="3"/>
        <v>21.9</v>
      </c>
      <c r="G75" s="35">
        <v>2.0</v>
      </c>
    </row>
    <row r="76">
      <c r="A76" s="22" t="str">
        <f>refs!A12</f>
        <v>Lateral raises</v>
      </c>
      <c r="B76" s="22">
        <f>refs!B12</f>
        <v>15</v>
      </c>
      <c r="C76" s="22">
        <v>8.0</v>
      </c>
      <c r="D76" s="34"/>
      <c r="E76" s="22">
        <f>refs!C12</f>
        <v>14</v>
      </c>
      <c r="F76" s="34">
        <f t="shared" si="3"/>
        <v>21.9</v>
      </c>
      <c r="G76" s="20"/>
    </row>
    <row r="77">
      <c r="A77" s="22" t="str">
        <f>refs!A12</f>
        <v>Lateral raises</v>
      </c>
      <c r="B77" s="22">
        <f>refs!B12</f>
        <v>15</v>
      </c>
      <c r="C77" s="22">
        <v>8.0</v>
      </c>
      <c r="D77" s="34"/>
      <c r="E77" s="22">
        <f>refs!C12</f>
        <v>14</v>
      </c>
      <c r="F77" s="34">
        <f t="shared" si="3"/>
        <v>21.9</v>
      </c>
      <c r="G77" s="20"/>
    </row>
    <row r="78">
      <c r="A78" s="22" t="str">
        <f>refs!A12</f>
        <v>Lateral raises</v>
      </c>
      <c r="B78" s="22">
        <f>refs!B12</f>
        <v>15</v>
      </c>
      <c r="C78" s="22">
        <v>8.0</v>
      </c>
      <c r="D78" s="34"/>
      <c r="E78" s="22">
        <f>refs!C12</f>
        <v>14</v>
      </c>
      <c r="F78" s="34">
        <f t="shared" si="3"/>
        <v>21.9</v>
      </c>
      <c r="G78" s="20"/>
    </row>
    <row r="79">
      <c r="A79" s="23" t="str">
        <f>refs!A13</f>
        <v>Strict curl</v>
      </c>
      <c r="B79" s="23">
        <f>refs!B13</f>
        <v>15</v>
      </c>
      <c r="C79" s="23">
        <v>8.0</v>
      </c>
      <c r="D79" s="36"/>
      <c r="E79" s="23">
        <f>refs!C13</f>
        <v>14</v>
      </c>
      <c r="F79" s="36">
        <f t="shared" si="3"/>
        <v>21.9</v>
      </c>
      <c r="G79" s="20"/>
    </row>
    <row r="80">
      <c r="A80" s="23" t="str">
        <f>refs!A13</f>
        <v>Strict curl</v>
      </c>
      <c r="B80" s="23">
        <f>refs!B13</f>
        <v>15</v>
      </c>
      <c r="C80" s="23">
        <v>8.0</v>
      </c>
      <c r="D80" s="36"/>
      <c r="E80" s="23">
        <f>refs!C13</f>
        <v>14</v>
      </c>
      <c r="F80" s="36">
        <f t="shared" si="3"/>
        <v>21.9</v>
      </c>
      <c r="G80" s="20"/>
    </row>
    <row r="81">
      <c r="A81" s="23" t="str">
        <f>refs!A13</f>
        <v>Strict curl</v>
      </c>
      <c r="B81" s="23">
        <f>refs!B13</f>
        <v>15</v>
      </c>
      <c r="C81" s="23">
        <v>8.0</v>
      </c>
      <c r="D81" s="36"/>
      <c r="E81" s="23">
        <f>refs!C13</f>
        <v>14</v>
      </c>
      <c r="F81" s="36">
        <f t="shared" si="3"/>
        <v>21.9</v>
      </c>
      <c r="G81" s="20"/>
    </row>
    <row r="82">
      <c r="A82" s="23" t="str">
        <f>refs!A13</f>
        <v>Strict curl</v>
      </c>
      <c r="B82" s="23">
        <f>refs!B13</f>
        <v>15</v>
      </c>
      <c r="C82" s="23">
        <v>8.0</v>
      </c>
      <c r="D82" s="36"/>
      <c r="E82" s="23">
        <f>refs!C13</f>
        <v>14</v>
      </c>
      <c r="F82" s="36">
        <f t="shared" si="3"/>
        <v>21.9</v>
      </c>
      <c r="G82" s="33"/>
    </row>
    <row r="84">
      <c r="A84" s="1" t="s">
        <v>37</v>
      </c>
      <c r="B84" s="3"/>
      <c r="C84" s="3"/>
      <c r="D84" s="3"/>
      <c r="E84" s="3"/>
      <c r="F84" s="3"/>
      <c r="G84" s="4"/>
    </row>
    <row r="85">
      <c r="A85" s="7" t="s">
        <v>3</v>
      </c>
      <c r="B85" s="7" t="s">
        <v>4</v>
      </c>
      <c r="C85" s="7" t="s">
        <v>5</v>
      </c>
      <c r="D85" s="7" t="s">
        <v>6</v>
      </c>
      <c r="E85" s="7" t="s">
        <v>7</v>
      </c>
      <c r="F85" s="7" t="s">
        <v>8</v>
      </c>
      <c r="G85" s="7" t="s">
        <v>9</v>
      </c>
    </row>
    <row r="86">
      <c r="A86" s="10" t="s">
        <v>11</v>
      </c>
      <c r="B86" s="10">
        <v>1.0</v>
      </c>
      <c r="C86" s="10">
        <v>6.0</v>
      </c>
      <c r="D86" s="10">
        <v>87.0</v>
      </c>
      <c r="E86" s="37">
        <f>D86/100*refs!B3</f>
        <v>104.4</v>
      </c>
      <c r="F86" s="37">
        <f t="shared" ref="F86:F103" si="4">IF(OR(C86="?",E86&lt;=0), "?", ROUND(E86*(1+(B86+(10-C86))/30),1))</f>
        <v>121.8</v>
      </c>
      <c r="G86" s="16">
        <v>1.0</v>
      </c>
    </row>
    <row r="87">
      <c r="A87" s="10" t="s">
        <v>11</v>
      </c>
      <c r="B87" s="10">
        <v>1.0</v>
      </c>
      <c r="C87" s="10">
        <v>8.0</v>
      </c>
      <c r="D87" s="10">
        <v>93.0</v>
      </c>
      <c r="E87" s="37">
        <f>D87/100*refs!B3</f>
        <v>111.6</v>
      </c>
      <c r="F87" s="37">
        <f t="shared" si="4"/>
        <v>122.8</v>
      </c>
      <c r="G87" s="20"/>
    </row>
    <row r="88">
      <c r="A88" s="10" t="s">
        <v>11</v>
      </c>
      <c r="B88" s="10">
        <v>7.0</v>
      </c>
      <c r="C88" s="10">
        <v>8.0</v>
      </c>
      <c r="D88" s="10">
        <v>78.0</v>
      </c>
      <c r="E88" s="37">
        <f>D88/100*refs!B3</f>
        <v>93.6</v>
      </c>
      <c r="F88" s="37">
        <f t="shared" si="4"/>
        <v>121.7</v>
      </c>
      <c r="G88" s="20"/>
    </row>
    <row r="89">
      <c r="A89" s="10" t="s">
        <v>11</v>
      </c>
      <c r="B89" s="10">
        <v>7.0</v>
      </c>
      <c r="C89" s="24" t="s">
        <v>20</v>
      </c>
      <c r="D89" s="10">
        <v>69.0</v>
      </c>
      <c r="E89" s="37">
        <f>D89/100*refs!B3</f>
        <v>82.8</v>
      </c>
      <c r="F89" s="27" t="str">
        <f t="shared" si="4"/>
        <v>?</v>
      </c>
      <c r="G89" s="20"/>
    </row>
    <row r="90">
      <c r="A90" s="10" t="s">
        <v>11</v>
      </c>
      <c r="B90" s="10">
        <v>7.0</v>
      </c>
      <c r="C90" s="24" t="s">
        <v>20</v>
      </c>
      <c r="D90" s="10">
        <v>69.0</v>
      </c>
      <c r="E90" s="37">
        <f>D90/100*refs!B3</f>
        <v>82.8</v>
      </c>
      <c r="F90" s="27" t="str">
        <f t="shared" si="4"/>
        <v>?</v>
      </c>
      <c r="G90" s="20"/>
    </row>
    <row r="91">
      <c r="A91" s="12" t="s">
        <v>12</v>
      </c>
      <c r="B91" s="12">
        <v>1.0</v>
      </c>
      <c r="C91" s="12">
        <v>6.0</v>
      </c>
      <c r="D91" s="12">
        <v>87.0</v>
      </c>
      <c r="E91" s="41">
        <f>D91/100*refs!B4</f>
        <v>82.65</v>
      </c>
      <c r="F91" s="41">
        <f t="shared" si="4"/>
        <v>96.4</v>
      </c>
      <c r="G91" s="20"/>
    </row>
    <row r="92">
      <c r="A92" s="12" t="s">
        <v>12</v>
      </c>
      <c r="B92" s="12">
        <v>1.0</v>
      </c>
      <c r="C92" s="12">
        <v>8.0</v>
      </c>
      <c r="D92" s="12">
        <v>93.0</v>
      </c>
      <c r="E92" s="41">
        <f>D92/100*refs!B4</f>
        <v>88.35</v>
      </c>
      <c r="F92" s="41">
        <f t="shared" si="4"/>
        <v>97.2</v>
      </c>
      <c r="G92" s="20"/>
    </row>
    <row r="93">
      <c r="A93" s="12" t="s">
        <v>12</v>
      </c>
      <c r="B93" s="12">
        <v>5.0</v>
      </c>
      <c r="C93" s="12">
        <v>8.0</v>
      </c>
      <c r="D93" s="12">
        <v>82.0</v>
      </c>
      <c r="E93" s="41">
        <f>D93/100*refs!B4</f>
        <v>77.9</v>
      </c>
      <c r="F93" s="41">
        <f t="shared" si="4"/>
        <v>96.1</v>
      </c>
      <c r="G93" s="20"/>
    </row>
    <row r="94">
      <c r="A94" s="9" t="s">
        <v>35</v>
      </c>
      <c r="B94" s="9">
        <v>5.0</v>
      </c>
      <c r="C94" s="9">
        <v>8.0</v>
      </c>
      <c r="D94" s="9">
        <v>82.0</v>
      </c>
      <c r="E94" s="14">
        <f>D94/100*refs!B4</f>
        <v>77.9</v>
      </c>
      <c r="F94" s="14">
        <f t="shared" si="4"/>
        <v>96.1</v>
      </c>
      <c r="G94" s="20"/>
    </row>
    <row r="95">
      <c r="A95" s="9" t="s">
        <v>35</v>
      </c>
      <c r="B95" s="9">
        <v>5.0</v>
      </c>
      <c r="C95" s="9">
        <v>8.0</v>
      </c>
      <c r="D95" s="9">
        <v>82.0</v>
      </c>
      <c r="E95" s="14">
        <f>D95/100*refs!B4</f>
        <v>77.9</v>
      </c>
      <c r="F95" s="14">
        <f t="shared" si="4"/>
        <v>96.1</v>
      </c>
      <c r="G95" s="20"/>
    </row>
    <row r="96">
      <c r="A96" s="25" t="str">
        <f>refs!A14</f>
        <v>Dumbbel rowing</v>
      </c>
      <c r="B96" s="25">
        <f>refs!B14</f>
        <v>8</v>
      </c>
      <c r="C96" s="25">
        <v>8.0</v>
      </c>
      <c r="D96" s="43"/>
      <c r="E96" s="25">
        <f>refs!C14</f>
        <v>46</v>
      </c>
      <c r="F96" s="43">
        <f t="shared" si="4"/>
        <v>61.3</v>
      </c>
      <c r="G96" s="20"/>
    </row>
    <row r="97">
      <c r="A97" s="25" t="str">
        <f>refs!A14</f>
        <v>Dumbbel rowing</v>
      </c>
      <c r="B97" s="25">
        <f>refs!B14</f>
        <v>8</v>
      </c>
      <c r="C97" s="25">
        <v>8.0</v>
      </c>
      <c r="D97" s="43"/>
      <c r="E97" s="25">
        <f>refs!C14</f>
        <v>46</v>
      </c>
      <c r="F97" s="43">
        <f t="shared" si="4"/>
        <v>61.3</v>
      </c>
      <c r="G97" s="20"/>
    </row>
    <row r="98">
      <c r="A98" s="25" t="str">
        <f>refs!A14</f>
        <v>Dumbbel rowing</v>
      </c>
      <c r="B98" s="25">
        <f>refs!B14</f>
        <v>8</v>
      </c>
      <c r="C98" s="25">
        <v>8.0</v>
      </c>
      <c r="D98" s="43"/>
      <c r="E98" s="25">
        <f>refs!C14</f>
        <v>46</v>
      </c>
      <c r="F98" s="43">
        <f t="shared" si="4"/>
        <v>61.3</v>
      </c>
      <c r="G98" s="20"/>
    </row>
    <row r="99">
      <c r="A99" s="25" t="str">
        <f>refs!A14</f>
        <v>Dumbbel rowing</v>
      </c>
      <c r="B99" s="25">
        <f>refs!B14</f>
        <v>8</v>
      </c>
      <c r="C99" s="25">
        <v>8.0</v>
      </c>
      <c r="D99" s="43"/>
      <c r="E99" s="25">
        <f>refs!C14</f>
        <v>46</v>
      </c>
      <c r="F99" s="43">
        <f t="shared" si="4"/>
        <v>61.3</v>
      </c>
      <c r="G99" s="20"/>
    </row>
    <row r="100">
      <c r="A100" s="44" t="str">
        <f>refs!A15</f>
        <v>Hammer curl</v>
      </c>
      <c r="B100" s="44">
        <f>refs!B15</f>
        <v>8</v>
      </c>
      <c r="C100" s="44">
        <v>8.0</v>
      </c>
      <c r="D100" s="45"/>
      <c r="E100" s="44">
        <f>refs!C15</f>
        <v>26</v>
      </c>
      <c r="F100" s="45">
        <f t="shared" si="4"/>
        <v>34.7</v>
      </c>
      <c r="G100" s="20"/>
    </row>
    <row r="101">
      <c r="A101" s="44" t="str">
        <f>refs!A15</f>
        <v>Hammer curl</v>
      </c>
      <c r="B101" s="44">
        <f>refs!B15</f>
        <v>8</v>
      </c>
      <c r="C101" s="44">
        <v>8.0</v>
      </c>
      <c r="D101" s="45"/>
      <c r="E101" s="44">
        <f>refs!C15</f>
        <v>26</v>
      </c>
      <c r="F101" s="45">
        <f t="shared" si="4"/>
        <v>34.7</v>
      </c>
      <c r="G101" s="20"/>
    </row>
    <row r="102">
      <c r="A102" s="44" t="str">
        <f>refs!A15</f>
        <v>Hammer curl</v>
      </c>
      <c r="B102" s="44">
        <f>refs!B15</f>
        <v>8</v>
      </c>
      <c r="C102" s="44">
        <v>8.0</v>
      </c>
      <c r="D102" s="45"/>
      <c r="E102" s="44">
        <f>refs!C15</f>
        <v>26</v>
      </c>
      <c r="F102" s="45">
        <f t="shared" si="4"/>
        <v>34.7</v>
      </c>
      <c r="G102" s="20"/>
    </row>
    <row r="103">
      <c r="A103" s="44" t="str">
        <f>refs!A15</f>
        <v>Hammer curl</v>
      </c>
      <c r="B103" s="44">
        <f>refs!B15</f>
        <v>8</v>
      </c>
      <c r="C103" s="44">
        <v>8.0</v>
      </c>
      <c r="D103" s="45"/>
      <c r="E103" s="44">
        <f>refs!C15</f>
        <v>26</v>
      </c>
      <c r="F103" s="46">
        <f t="shared" si="4"/>
        <v>34.7</v>
      </c>
      <c r="G103" s="33"/>
    </row>
  </sheetData>
  <mergeCells count="10">
    <mergeCell ref="G75:G82"/>
    <mergeCell ref="A84:G84"/>
    <mergeCell ref="G86:G103"/>
    <mergeCell ref="A1:G1"/>
    <mergeCell ref="G3:G21"/>
    <mergeCell ref="G22:G29"/>
    <mergeCell ref="A31:G31"/>
    <mergeCell ref="G33:G52"/>
    <mergeCell ref="A54:G54"/>
    <mergeCell ref="G56:G7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2" t="s">
        <v>1</v>
      </c>
      <c r="B1" s="3"/>
      <c r="C1" s="3"/>
      <c r="D1" s="3"/>
      <c r="E1" s="3"/>
      <c r="F1" s="3"/>
      <c r="G1" s="4"/>
      <c r="H1" s="5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5"/>
    </row>
    <row r="3">
      <c r="A3" s="8" t="s">
        <v>10</v>
      </c>
      <c r="B3" s="8">
        <v>3.0</v>
      </c>
      <c r="C3" s="8">
        <v>5.0</v>
      </c>
      <c r="D3" s="8">
        <v>79.0</v>
      </c>
      <c r="E3" s="11">
        <f>D3/100*refs!B4</f>
        <v>75.05</v>
      </c>
      <c r="F3" s="11">
        <f t="shared" ref="F3:F29" si="1">IF(OR(C3="?",E3&lt;=0), "?", ROUND(E3*(1+(B3+(10-C3))/30),1))</f>
        <v>95.1</v>
      </c>
      <c r="G3" s="16"/>
    </row>
    <row r="4">
      <c r="A4" s="8" t="s">
        <v>10</v>
      </c>
      <c r="B4" s="8">
        <v>3.0</v>
      </c>
      <c r="C4" s="8">
        <v>7.0</v>
      </c>
      <c r="D4" s="8">
        <v>84.0</v>
      </c>
      <c r="E4" s="11">
        <f>D4/100*refs!B4</f>
        <v>79.8</v>
      </c>
      <c r="F4" s="11">
        <f t="shared" si="1"/>
        <v>95.8</v>
      </c>
      <c r="G4" s="20"/>
    </row>
    <row r="5">
      <c r="A5" s="8" t="s">
        <v>10</v>
      </c>
      <c r="B5" s="8">
        <v>3.0</v>
      </c>
      <c r="C5" s="8">
        <v>9.0</v>
      </c>
      <c r="D5" s="8">
        <v>90.0</v>
      </c>
      <c r="E5" s="11">
        <f>D5/100*refs!B4</f>
        <v>85.5</v>
      </c>
      <c r="F5" s="11">
        <f t="shared" si="1"/>
        <v>96.9</v>
      </c>
      <c r="G5" s="20"/>
    </row>
    <row r="6">
      <c r="A6" s="8" t="s">
        <v>10</v>
      </c>
      <c r="B6" s="8">
        <v>3.0</v>
      </c>
      <c r="C6" s="24" t="s">
        <v>20</v>
      </c>
      <c r="D6" s="8">
        <v>82.0</v>
      </c>
      <c r="E6" s="11">
        <f>D6/100*refs!B4</f>
        <v>77.9</v>
      </c>
      <c r="F6" s="27" t="str">
        <f t="shared" si="1"/>
        <v>?</v>
      </c>
      <c r="G6" s="20"/>
    </row>
    <row r="7">
      <c r="A7" s="8" t="s">
        <v>10</v>
      </c>
      <c r="B7" s="8">
        <v>3.0</v>
      </c>
      <c r="C7" s="24" t="s">
        <v>20</v>
      </c>
      <c r="D7" s="8">
        <v>78.0</v>
      </c>
      <c r="E7" s="11">
        <f>D7/100*refs!B4</f>
        <v>74.1</v>
      </c>
      <c r="F7" s="27" t="str">
        <f t="shared" si="1"/>
        <v>?</v>
      </c>
      <c r="G7" s="20"/>
    </row>
    <row r="8">
      <c r="A8" s="13" t="s">
        <v>13</v>
      </c>
      <c r="B8" s="13">
        <v>3.0</v>
      </c>
      <c r="C8" s="13">
        <v>5.0</v>
      </c>
      <c r="D8" s="13">
        <v>79.0</v>
      </c>
      <c r="E8" s="28">
        <f>D8/100*refs!B5</f>
        <v>177.75</v>
      </c>
      <c r="F8" s="28">
        <f t="shared" si="1"/>
        <v>225.2</v>
      </c>
      <c r="G8" s="20"/>
    </row>
    <row r="9">
      <c r="A9" s="13" t="s">
        <v>13</v>
      </c>
      <c r="B9" s="13">
        <v>3.0</v>
      </c>
      <c r="C9" s="13">
        <v>7.0</v>
      </c>
      <c r="D9" s="13">
        <v>85.0</v>
      </c>
      <c r="E9" s="28">
        <f>D9/100*refs!B5</f>
        <v>191.25</v>
      </c>
      <c r="F9" s="28">
        <f t="shared" si="1"/>
        <v>229.5</v>
      </c>
      <c r="G9" s="20"/>
    </row>
    <row r="10">
      <c r="A10" s="13" t="s">
        <v>13</v>
      </c>
      <c r="B10" s="13">
        <v>3.0</v>
      </c>
      <c r="C10" s="13">
        <v>9.0</v>
      </c>
      <c r="D10" s="13">
        <v>90.0</v>
      </c>
      <c r="E10" s="28">
        <f>D10/100*refs!B5</f>
        <v>202.5</v>
      </c>
      <c r="F10" s="28">
        <f t="shared" si="1"/>
        <v>229.5</v>
      </c>
      <c r="G10" s="20"/>
    </row>
    <row r="11">
      <c r="A11" s="29" t="s">
        <v>24</v>
      </c>
      <c r="B11" s="29">
        <v>3.0</v>
      </c>
      <c r="C11" s="29">
        <v>6.0</v>
      </c>
      <c r="D11" s="29">
        <v>75.0</v>
      </c>
      <c r="E11" s="30">
        <f>D11/100*refs!B5</f>
        <v>168.75</v>
      </c>
      <c r="F11" s="30">
        <f t="shared" si="1"/>
        <v>208.1</v>
      </c>
      <c r="G11" s="20"/>
    </row>
    <row r="12">
      <c r="A12" s="29" t="s">
        <v>24</v>
      </c>
      <c r="B12" s="29">
        <v>3.0</v>
      </c>
      <c r="C12" s="29">
        <v>8.0</v>
      </c>
      <c r="D12" s="29">
        <v>81.0</v>
      </c>
      <c r="E12" s="30">
        <f>D12/100*refs!B5</f>
        <v>182.25</v>
      </c>
      <c r="F12" s="30">
        <f t="shared" si="1"/>
        <v>212.6</v>
      </c>
      <c r="G12" s="20"/>
    </row>
    <row r="13">
      <c r="A13" s="29" t="s">
        <v>24</v>
      </c>
      <c r="B13" s="29">
        <v>3.0</v>
      </c>
      <c r="C13" s="29">
        <v>6.0</v>
      </c>
      <c r="D13" s="29">
        <v>75.0</v>
      </c>
      <c r="E13" s="30">
        <f>D13/100*refs!B5</f>
        <v>168.75</v>
      </c>
      <c r="F13" s="30">
        <f t="shared" si="1"/>
        <v>208.1</v>
      </c>
      <c r="G13" s="20"/>
    </row>
    <row r="14">
      <c r="A14" s="19" t="str">
        <f>refs!A10</f>
        <v>Pull-ups</v>
      </c>
      <c r="B14" s="19">
        <f>refs!B10</f>
        <v>5</v>
      </c>
      <c r="C14" s="19">
        <v>8.0</v>
      </c>
      <c r="D14" s="31"/>
      <c r="E14" s="19">
        <f>refs!C10</f>
        <v>0</v>
      </c>
      <c r="F14" s="31" t="str">
        <f t="shared" si="1"/>
        <v>?</v>
      </c>
      <c r="G14" s="20"/>
    </row>
    <row r="15">
      <c r="A15" s="19" t="str">
        <f>refs!A10</f>
        <v>Pull-ups</v>
      </c>
      <c r="B15" s="19">
        <f>refs!B10</f>
        <v>5</v>
      </c>
      <c r="C15" s="19">
        <v>8.0</v>
      </c>
      <c r="D15" s="31"/>
      <c r="E15" s="19">
        <f>refs!C10</f>
        <v>0</v>
      </c>
      <c r="F15" s="31" t="str">
        <f t="shared" si="1"/>
        <v>?</v>
      </c>
      <c r="G15" s="20"/>
    </row>
    <row r="16">
      <c r="A16" s="19" t="str">
        <f>refs!A10</f>
        <v>Pull-ups</v>
      </c>
      <c r="B16" s="19">
        <f>refs!B10</f>
        <v>5</v>
      </c>
      <c r="C16" s="19">
        <v>8.0</v>
      </c>
      <c r="D16" s="31"/>
      <c r="E16" s="19">
        <f>refs!C10</f>
        <v>0</v>
      </c>
      <c r="F16" s="31" t="str">
        <f t="shared" si="1"/>
        <v>?</v>
      </c>
      <c r="G16" s="20"/>
    </row>
    <row r="17">
      <c r="A17" s="19" t="str">
        <f>refs!A10</f>
        <v>Pull-ups</v>
      </c>
      <c r="B17" s="19">
        <f>refs!B10</f>
        <v>5</v>
      </c>
      <c r="C17" s="19">
        <v>8.0</v>
      </c>
      <c r="D17" s="31"/>
      <c r="E17" s="19">
        <f>refs!C10</f>
        <v>0</v>
      </c>
      <c r="F17" s="31" t="str">
        <f t="shared" si="1"/>
        <v>?</v>
      </c>
      <c r="G17" s="20"/>
    </row>
    <row r="18">
      <c r="A18" s="21" t="str">
        <f>refs!A11</f>
        <v>Dips</v>
      </c>
      <c r="B18" s="21">
        <f>refs!B11</f>
        <v>8</v>
      </c>
      <c r="C18" s="21">
        <v>8.0</v>
      </c>
      <c r="D18" s="32"/>
      <c r="E18" s="21">
        <f>refs!C11</f>
        <v>0</v>
      </c>
      <c r="F18" s="32" t="str">
        <f t="shared" si="1"/>
        <v>?</v>
      </c>
      <c r="G18" s="20"/>
    </row>
    <row r="19">
      <c r="A19" s="21" t="str">
        <f>refs!A11</f>
        <v>Dips</v>
      </c>
      <c r="B19" s="21">
        <f>refs!B11</f>
        <v>8</v>
      </c>
      <c r="C19" s="21">
        <v>8.0</v>
      </c>
      <c r="D19" s="32"/>
      <c r="E19" s="21">
        <f>refs!C11</f>
        <v>0</v>
      </c>
      <c r="F19" s="32" t="str">
        <f t="shared" si="1"/>
        <v>?</v>
      </c>
      <c r="G19" s="20"/>
    </row>
    <row r="20">
      <c r="A20" s="21" t="str">
        <f>refs!A11</f>
        <v>Dips</v>
      </c>
      <c r="B20" s="21">
        <f>refs!B11</f>
        <v>8</v>
      </c>
      <c r="C20" s="21">
        <v>8.0</v>
      </c>
      <c r="D20" s="32"/>
      <c r="E20" s="21">
        <f>refs!C11</f>
        <v>0</v>
      </c>
      <c r="F20" s="32" t="str">
        <f t="shared" si="1"/>
        <v>?</v>
      </c>
      <c r="G20" s="20"/>
    </row>
    <row r="21">
      <c r="A21" s="21" t="str">
        <f>refs!A11</f>
        <v>Dips</v>
      </c>
      <c r="B21" s="21">
        <f>refs!B11</f>
        <v>8</v>
      </c>
      <c r="C21" s="21">
        <v>8.0</v>
      </c>
      <c r="D21" s="32"/>
      <c r="E21" s="21">
        <f>refs!C11</f>
        <v>0</v>
      </c>
      <c r="F21" s="32" t="str">
        <f t="shared" si="1"/>
        <v>?</v>
      </c>
      <c r="G21" s="33"/>
    </row>
    <row r="22">
      <c r="A22" s="22" t="str">
        <f>refs!A12</f>
        <v>Lateral raises</v>
      </c>
      <c r="B22" s="22">
        <f>refs!B12</f>
        <v>15</v>
      </c>
      <c r="C22" s="22">
        <v>8.0</v>
      </c>
      <c r="D22" s="34"/>
      <c r="E22" s="22">
        <f>refs!C12</f>
        <v>14</v>
      </c>
      <c r="F22" s="34">
        <f t="shared" si="1"/>
        <v>21.9</v>
      </c>
      <c r="G22" s="35">
        <v>2.0</v>
      </c>
    </row>
    <row r="23">
      <c r="A23" s="22" t="str">
        <f>refs!A12</f>
        <v>Lateral raises</v>
      </c>
      <c r="B23" s="22">
        <f>refs!B12</f>
        <v>15</v>
      </c>
      <c r="C23" s="22">
        <v>8.0</v>
      </c>
      <c r="D23" s="34"/>
      <c r="E23" s="22">
        <f>refs!C12</f>
        <v>14</v>
      </c>
      <c r="F23" s="34">
        <f t="shared" si="1"/>
        <v>21.9</v>
      </c>
      <c r="G23" s="20"/>
    </row>
    <row r="24">
      <c r="A24" s="22" t="str">
        <f>refs!A12</f>
        <v>Lateral raises</v>
      </c>
      <c r="B24" s="22">
        <f>refs!B12</f>
        <v>15</v>
      </c>
      <c r="C24" s="22">
        <v>8.0</v>
      </c>
      <c r="D24" s="34"/>
      <c r="E24" s="22">
        <f>refs!C12</f>
        <v>14</v>
      </c>
      <c r="F24" s="34">
        <f t="shared" si="1"/>
        <v>21.9</v>
      </c>
      <c r="G24" s="20"/>
    </row>
    <row r="25">
      <c r="A25" s="22" t="str">
        <f>refs!A12</f>
        <v>Lateral raises</v>
      </c>
      <c r="B25" s="22">
        <f>refs!B12</f>
        <v>15</v>
      </c>
      <c r="C25" s="22">
        <v>8.0</v>
      </c>
      <c r="D25" s="34"/>
      <c r="E25" s="22">
        <f>refs!C12</f>
        <v>14</v>
      </c>
      <c r="F25" s="34">
        <f t="shared" si="1"/>
        <v>21.9</v>
      </c>
      <c r="G25" s="20"/>
    </row>
    <row r="26">
      <c r="A26" s="23" t="str">
        <f>refs!A13</f>
        <v>Strict curl</v>
      </c>
      <c r="B26" s="23">
        <f>refs!B13</f>
        <v>15</v>
      </c>
      <c r="C26" s="23">
        <v>8.0</v>
      </c>
      <c r="D26" s="36"/>
      <c r="E26" s="23">
        <f>refs!C13</f>
        <v>14</v>
      </c>
      <c r="F26" s="36">
        <f t="shared" si="1"/>
        <v>21.9</v>
      </c>
      <c r="G26" s="20"/>
    </row>
    <row r="27">
      <c r="A27" s="23" t="str">
        <f>refs!A13</f>
        <v>Strict curl</v>
      </c>
      <c r="B27" s="23">
        <f>refs!B13</f>
        <v>15</v>
      </c>
      <c r="C27" s="23">
        <v>8.0</v>
      </c>
      <c r="D27" s="36"/>
      <c r="E27" s="23">
        <f>refs!C13</f>
        <v>14</v>
      </c>
      <c r="F27" s="36">
        <f t="shared" si="1"/>
        <v>21.9</v>
      </c>
      <c r="G27" s="20"/>
    </row>
    <row r="28">
      <c r="A28" s="23" t="str">
        <f>refs!A13</f>
        <v>Strict curl</v>
      </c>
      <c r="B28" s="23">
        <f>refs!B13</f>
        <v>15</v>
      </c>
      <c r="C28" s="23">
        <v>8.0</v>
      </c>
      <c r="D28" s="36"/>
      <c r="E28" s="23">
        <f>refs!C13</f>
        <v>14</v>
      </c>
      <c r="F28" s="36">
        <f t="shared" si="1"/>
        <v>21.9</v>
      </c>
      <c r="G28" s="20"/>
    </row>
    <row r="29">
      <c r="A29" s="23" t="str">
        <f>refs!A13</f>
        <v>Strict curl</v>
      </c>
      <c r="B29" s="23">
        <f>refs!B13</f>
        <v>15</v>
      </c>
      <c r="C29" s="23">
        <v>8.0</v>
      </c>
      <c r="D29" s="36"/>
      <c r="E29" s="23">
        <f>refs!C13</f>
        <v>14</v>
      </c>
      <c r="F29" s="36">
        <f t="shared" si="1"/>
        <v>21.9</v>
      </c>
      <c r="G29" s="33"/>
    </row>
    <row r="31">
      <c r="A31" s="1" t="s">
        <v>27</v>
      </c>
      <c r="B31" s="3"/>
      <c r="C31" s="3"/>
      <c r="D31" s="3"/>
      <c r="E31" s="3"/>
      <c r="F31" s="3"/>
      <c r="G31" s="4"/>
    </row>
    <row r="32">
      <c r="A32" s="6" t="s">
        <v>3</v>
      </c>
      <c r="B32" s="6" t="s">
        <v>4</v>
      </c>
      <c r="C32" s="6" t="s">
        <v>5</v>
      </c>
      <c r="D32" s="6" t="s">
        <v>6</v>
      </c>
      <c r="E32" s="6" t="s">
        <v>7</v>
      </c>
      <c r="F32" s="6" t="s">
        <v>8</v>
      </c>
      <c r="G32" s="6" t="s">
        <v>9</v>
      </c>
    </row>
    <row r="33">
      <c r="A33" s="10" t="s">
        <v>11</v>
      </c>
      <c r="B33" s="10">
        <v>3.0</v>
      </c>
      <c r="C33" s="10">
        <v>5.0</v>
      </c>
      <c r="D33" s="10">
        <v>79.0</v>
      </c>
      <c r="E33" s="37">
        <f>D33/100*refs!B3</f>
        <v>94.8</v>
      </c>
      <c r="F33" s="37">
        <f t="shared" ref="F33:F51" si="2">IF(OR(C33="?",E33&lt;=0), "?", ROUND(E33*(1+(B33+(10-C33))/30),1))</f>
        <v>120.1</v>
      </c>
      <c r="G33" s="16">
        <v>1.0</v>
      </c>
    </row>
    <row r="34">
      <c r="A34" s="10" t="s">
        <v>11</v>
      </c>
      <c r="B34" s="10">
        <v>3.0</v>
      </c>
      <c r="C34" s="10">
        <v>7.0</v>
      </c>
      <c r="D34" s="10">
        <v>84.0</v>
      </c>
      <c r="E34" s="37">
        <f>D34/100*refs!B3</f>
        <v>100.8</v>
      </c>
      <c r="F34" s="37">
        <f t="shared" si="2"/>
        <v>121</v>
      </c>
      <c r="G34" s="20"/>
    </row>
    <row r="35">
      <c r="A35" s="10" t="s">
        <v>11</v>
      </c>
      <c r="B35" s="10">
        <v>3.0</v>
      </c>
      <c r="C35" s="10">
        <v>9.0</v>
      </c>
      <c r="D35" s="10">
        <v>90.0</v>
      </c>
      <c r="E35" s="37">
        <f>D35/100*refs!B3</f>
        <v>108</v>
      </c>
      <c r="F35" s="37">
        <f t="shared" si="2"/>
        <v>122.4</v>
      </c>
      <c r="G35" s="20"/>
    </row>
    <row r="36">
      <c r="A36" s="39" t="s">
        <v>28</v>
      </c>
      <c r="B36" s="39">
        <v>5.0</v>
      </c>
      <c r="C36" s="39">
        <v>7.0</v>
      </c>
      <c r="D36" s="39">
        <v>77.0</v>
      </c>
      <c r="E36" s="40">
        <f>D36/100*refs!B3</f>
        <v>92.4</v>
      </c>
      <c r="F36" s="40">
        <f t="shared" si="2"/>
        <v>117</v>
      </c>
      <c r="G36" s="20"/>
    </row>
    <row r="37">
      <c r="A37" s="39" t="s">
        <v>28</v>
      </c>
      <c r="B37" s="39">
        <v>5.0</v>
      </c>
      <c r="C37" s="39">
        <v>7.0</v>
      </c>
      <c r="D37" s="39">
        <v>77.0</v>
      </c>
      <c r="E37" s="40">
        <f>D37/100*refs!B3</f>
        <v>92.4</v>
      </c>
      <c r="F37" s="40">
        <f t="shared" si="2"/>
        <v>117</v>
      </c>
      <c r="G37" s="20"/>
    </row>
    <row r="38">
      <c r="A38" s="39" t="s">
        <v>28</v>
      </c>
      <c r="B38" s="39">
        <v>5.0</v>
      </c>
      <c r="C38" s="39">
        <v>7.0</v>
      </c>
      <c r="D38" s="39">
        <v>77.0</v>
      </c>
      <c r="E38" s="40">
        <f>D38/100*refs!B3</f>
        <v>92.4</v>
      </c>
      <c r="F38" s="40">
        <f t="shared" si="2"/>
        <v>117</v>
      </c>
      <c r="G38" s="20"/>
    </row>
    <row r="39">
      <c r="A39" s="12" t="s">
        <v>12</v>
      </c>
      <c r="B39" s="12">
        <v>7.0</v>
      </c>
      <c r="C39" s="12">
        <v>6.0</v>
      </c>
      <c r="D39" s="12">
        <v>71.0</v>
      </c>
      <c r="E39" s="41">
        <f>D39/100*refs!B4</f>
        <v>67.45</v>
      </c>
      <c r="F39" s="41">
        <f t="shared" si="2"/>
        <v>92.2</v>
      </c>
      <c r="G39" s="20"/>
    </row>
    <row r="40">
      <c r="A40" s="12" t="s">
        <v>12</v>
      </c>
      <c r="B40" s="12">
        <v>7.0</v>
      </c>
      <c r="C40" s="12">
        <v>8.0</v>
      </c>
      <c r="D40" s="12">
        <v>77.0</v>
      </c>
      <c r="E40" s="41">
        <f>D40/100*refs!B4</f>
        <v>73.15</v>
      </c>
      <c r="F40" s="41">
        <f t="shared" si="2"/>
        <v>95.1</v>
      </c>
      <c r="G40" s="20"/>
    </row>
    <row r="41">
      <c r="A41" s="12" t="s">
        <v>12</v>
      </c>
      <c r="B41" s="12">
        <v>7.0</v>
      </c>
      <c r="C41" s="24" t="s">
        <v>20</v>
      </c>
      <c r="D41" s="12">
        <v>71.0</v>
      </c>
      <c r="E41" s="41">
        <f>D41/100*refs!B4</f>
        <v>67.45</v>
      </c>
      <c r="F41" s="27" t="str">
        <f t="shared" si="2"/>
        <v>?</v>
      </c>
      <c r="G41" s="20"/>
    </row>
    <row r="42">
      <c r="A42" s="12" t="s">
        <v>12</v>
      </c>
      <c r="B42" s="12">
        <v>7.0</v>
      </c>
      <c r="C42" s="24" t="s">
        <v>20</v>
      </c>
      <c r="D42" s="12">
        <v>66.0</v>
      </c>
      <c r="E42" s="41">
        <f>D42/100*refs!B4</f>
        <v>62.7</v>
      </c>
      <c r="F42" s="27" t="str">
        <f t="shared" si="2"/>
        <v>?</v>
      </c>
      <c r="G42" s="20"/>
    </row>
    <row r="43">
      <c r="A43" s="12" t="s">
        <v>12</v>
      </c>
      <c r="B43" s="12">
        <v>7.0</v>
      </c>
      <c r="C43" s="24" t="s">
        <v>20</v>
      </c>
      <c r="D43" s="12">
        <v>66.0</v>
      </c>
      <c r="E43" s="41">
        <f>D43/100*refs!B4</f>
        <v>62.7</v>
      </c>
      <c r="F43" s="27" t="str">
        <f t="shared" si="2"/>
        <v>?</v>
      </c>
      <c r="G43" s="20"/>
    </row>
    <row r="44">
      <c r="A44" s="25" t="str">
        <f>refs!A14</f>
        <v>Dumbbel rowing</v>
      </c>
      <c r="B44" s="25">
        <f>refs!B14</f>
        <v>8</v>
      </c>
      <c r="C44" s="25">
        <v>8.0</v>
      </c>
      <c r="D44" s="43"/>
      <c r="E44" s="25">
        <f>refs!C14</f>
        <v>46</v>
      </c>
      <c r="F44" s="43">
        <f t="shared" si="2"/>
        <v>61.3</v>
      </c>
      <c r="G44" s="20"/>
    </row>
    <row r="45">
      <c r="A45" s="25" t="str">
        <f>refs!A14</f>
        <v>Dumbbel rowing</v>
      </c>
      <c r="B45" s="25">
        <f>refs!B14</f>
        <v>8</v>
      </c>
      <c r="C45" s="25">
        <v>8.0</v>
      </c>
      <c r="D45" s="43"/>
      <c r="E45" s="25">
        <f>refs!C14</f>
        <v>46</v>
      </c>
      <c r="F45" s="43">
        <f t="shared" si="2"/>
        <v>61.3</v>
      </c>
      <c r="G45" s="20"/>
    </row>
    <row r="46">
      <c r="A46" s="25" t="str">
        <f>refs!A14</f>
        <v>Dumbbel rowing</v>
      </c>
      <c r="B46" s="25">
        <f>refs!B14</f>
        <v>8</v>
      </c>
      <c r="C46" s="25">
        <v>8.0</v>
      </c>
      <c r="D46" s="43"/>
      <c r="E46" s="25">
        <f>refs!C14</f>
        <v>46</v>
      </c>
      <c r="F46" s="43">
        <f t="shared" si="2"/>
        <v>61.3</v>
      </c>
      <c r="G46" s="20"/>
    </row>
    <row r="47">
      <c r="A47" s="25" t="str">
        <f>refs!A14</f>
        <v>Dumbbel rowing</v>
      </c>
      <c r="B47" s="25">
        <f>refs!B14</f>
        <v>8</v>
      </c>
      <c r="C47" s="25">
        <v>8.0</v>
      </c>
      <c r="D47" s="43"/>
      <c r="E47" s="25">
        <f>refs!C14</f>
        <v>46</v>
      </c>
      <c r="F47" s="43">
        <f t="shared" si="2"/>
        <v>61.3</v>
      </c>
      <c r="G47" s="20"/>
    </row>
    <row r="48">
      <c r="A48" s="44" t="str">
        <f>refs!A15</f>
        <v>Hammer curl</v>
      </c>
      <c r="B48" s="44">
        <f>refs!B15</f>
        <v>8</v>
      </c>
      <c r="C48" s="44">
        <v>8.0</v>
      </c>
      <c r="D48" s="45"/>
      <c r="E48" s="44">
        <f>refs!C15</f>
        <v>26</v>
      </c>
      <c r="F48" s="45">
        <f t="shared" si="2"/>
        <v>34.7</v>
      </c>
      <c r="G48" s="20"/>
    </row>
    <row r="49">
      <c r="A49" s="44" t="str">
        <f>refs!A15</f>
        <v>Hammer curl</v>
      </c>
      <c r="B49" s="44">
        <f>refs!B15</f>
        <v>8</v>
      </c>
      <c r="C49" s="44">
        <v>8.0</v>
      </c>
      <c r="D49" s="45"/>
      <c r="E49" s="44">
        <f>refs!C15</f>
        <v>26</v>
      </c>
      <c r="F49" s="45">
        <f t="shared" si="2"/>
        <v>34.7</v>
      </c>
      <c r="G49" s="20"/>
    </row>
    <row r="50">
      <c r="A50" s="44" t="str">
        <f>refs!A15</f>
        <v>Hammer curl</v>
      </c>
      <c r="B50" s="44">
        <f>refs!B15</f>
        <v>8</v>
      </c>
      <c r="C50" s="44">
        <v>8.0</v>
      </c>
      <c r="D50" s="45"/>
      <c r="E50" s="44">
        <f>refs!C15</f>
        <v>26</v>
      </c>
      <c r="F50" s="45">
        <f t="shared" si="2"/>
        <v>34.7</v>
      </c>
      <c r="G50" s="20"/>
    </row>
    <row r="51">
      <c r="A51" s="44" t="str">
        <f>refs!A15</f>
        <v>Hammer curl</v>
      </c>
      <c r="B51" s="44">
        <f>refs!B15</f>
        <v>8</v>
      </c>
      <c r="C51" s="44">
        <v>8.0</v>
      </c>
      <c r="D51" s="45"/>
      <c r="E51" s="44">
        <f>refs!C15</f>
        <v>26</v>
      </c>
      <c r="F51" s="46">
        <f t="shared" si="2"/>
        <v>34.7</v>
      </c>
      <c r="G51" s="33"/>
    </row>
    <row r="53">
      <c r="A53" s="1" t="s">
        <v>32</v>
      </c>
      <c r="B53" s="3"/>
      <c r="C53" s="3"/>
      <c r="D53" s="3"/>
      <c r="E53" s="3"/>
      <c r="F53" s="3"/>
      <c r="G53" s="4"/>
    </row>
    <row r="54">
      <c r="A54" s="7" t="s">
        <v>3</v>
      </c>
      <c r="B54" s="7" t="s">
        <v>4</v>
      </c>
      <c r="C54" s="7" t="s">
        <v>5</v>
      </c>
      <c r="D54" s="7" t="s">
        <v>6</v>
      </c>
      <c r="E54" s="7" t="s">
        <v>7</v>
      </c>
      <c r="F54" s="7" t="s">
        <v>8</v>
      </c>
      <c r="G54" s="7" t="s">
        <v>9</v>
      </c>
    </row>
    <row r="55">
      <c r="A55" s="8" t="s">
        <v>31</v>
      </c>
      <c r="B55" s="8">
        <v>4.0</v>
      </c>
      <c r="C55" s="8">
        <v>5.0</v>
      </c>
      <c r="D55" s="8">
        <v>77.0</v>
      </c>
      <c r="E55" s="11">
        <f>D55/100*refs!B4</f>
        <v>73.15</v>
      </c>
      <c r="F55" s="11">
        <f t="shared" ref="F55:F80" si="3">IF(OR(C55="?",E55&lt;=0), "?", ROUND(E55*(1+(B55+(10-C55))/30),1))</f>
        <v>95.1</v>
      </c>
      <c r="G55" s="16">
        <v>1.0</v>
      </c>
    </row>
    <row r="56">
      <c r="A56" s="8" t="s">
        <v>31</v>
      </c>
      <c r="B56" s="8">
        <v>4.0</v>
      </c>
      <c r="C56" s="8">
        <v>8.0</v>
      </c>
      <c r="D56" s="8">
        <v>81.0</v>
      </c>
      <c r="E56" s="11">
        <f>D56/100*refs!B4</f>
        <v>76.95</v>
      </c>
      <c r="F56" s="11">
        <f t="shared" si="3"/>
        <v>92.3</v>
      </c>
      <c r="G56" s="20"/>
    </row>
    <row r="57">
      <c r="A57" s="8" t="s">
        <v>31</v>
      </c>
      <c r="B57" s="8">
        <v>8.0</v>
      </c>
      <c r="C57" s="8">
        <v>7.0</v>
      </c>
      <c r="D57" s="8">
        <v>71.0</v>
      </c>
      <c r="E57" s="11">
        <f>D57/100*refs!B4</f>
        <v>67.45</v>
      </c>
      <c r="F57" s="11">
        <f t="shared" si="3"/>
        <v>92.2</v>
      </c>
      <c r="G57" s="20"/>
    </row>
    <row r="58">
      <c r="A58" s="8" t="s">
        <v>31</v>
      </c>
      <c r="B58" s="8">
        <v>8.0</v>
      </c>
      <c r="C58" s="8">
        <v>7.0</v>
      </c>
      <c r="D58" s="8">
        <v>71.0</v>
      </c>
      <c r="E58" s="11">
        <f>D58/100*refs!B4</f>
        <v>67.45</v>
      </c>
      <c r="F58" s="11">
        <f t="shared" si="3"/>
        <v>92.2</v>
      </c>
      <c r="G58" s="20"/>
    </row>
    <row r="59">
      <c r="A59" s="13" t="s">
        <v>13</v>
      </c>
      <c r="B59" s="13">
        <v>1.0</v>
      </c>
      <c r="C59" s="13">
        <v>6.0</v>
      </c>
      <c r="D59" s="13">
        <v>87.0</v>
      </c>
      <c r="E59" s="28">
        <f>D59/100*refs!B5</f>
        <v>195.75</v>
      </c>
      <c r="F59" s="28">
        <f t="shared" si="3"/>
        <v>228.4</v>
      </c>
      <c r="G59" s="20"/>
    </row>
    <row r="60">
      <c r="A60" s="13" t="s">
        <v>13</v>
      </c>
      <c r="B60" s="13">
        <v>1.0</v>
      </c>
      <c r="C60" s="13">
        <v>8.0</v>
      </c>
      <c r="D60" s="13">
        <v>93.0</v>
      </c>
      <c r="E60" s="28">
        <f>D60/100*refs!B5</f>
        <v>209.25</v>
      </c>
      <c r="F60" s="28">
        <f t="shared" si="3"/>
        <v>230.2</v>
      </c>
      <c r="G60" s="20"/>
    </row>
    <row r="61">
      <c r="A61" s="13" t="s">
        <v>13</v>
      </c>
      <c r="B61" s="13">
        <v>1.0</v>
      </c>
      <c r="C61" s="13">
        <v>9.0</v>
      </c>
      <c r="D61" s="13">
        <v>96.0</v>
      </c>
      <c r="E61" s="28">
        <f>D61/100*refs!B5</f>
        <v>216</v>
      </c>
      <c r="F61" s="28">
        <f t="shared" si="3"/>
        <v>230.4</v>
      </c>
      <c r="G61" s="20"/>
    </row>
    <row r="62">
      <c r="A62" s="13" t="s">
        <v>13</v>
      </c>
      <c r="B62" s="13">
        <v>5.0</v>
      </c>
      <c r="C62" s="13">
        <v>6.0</v>
      </c>
      <c r="D62" s="13">
        <v>76.0</v>
      </c>
      <c r="E62" s="28">
        <f>D62/100*refs!B5</f>
        <v>171</v>
      </c>
      <c r="F62" s="28">
        <f t="shared" si="3"/>
        <v>222.3</v>
      </c>
      <c r="G62" s="20"/>
    </row>
    <row r="63">
      <c r="A63" s="13" t="s">
        <v>13</v>
      </c>
      <c r="B63" s="13">
        <v>5.0</v>
      </c>
      <c r="C63" s="13">
        <v>6.0</v>
      </c>
      <c r="D63" s="13">
        <v>76.0</v>
      </c>
      <c r="E63" s="28">
        <f>D63/100*refs!B5</f>
        <v>171</v>
      </c>
      <c r="F63" s="28">
        <f t="shared" si="3"/>
        <v>222.3</v>
      </c>
      <c r="G63" s="20"/>
    </row>
    <row r="64">
      <c r="A64" s="13" t="s">
        <v>13</v>
      </c>
      <c r="B64" s="13">
        <v>5.0</v>
      </c>
      <c r="C64" s="13">
        <v>6.0</v>
      </c>
      <c r="D64" s="13">
        <v>76.0</v>
      </c>
      <c r="E64" s="28">
        <f>D64/100*refs!B5</f>
        <v>171</v>
      </c>
      <c r="F64" s="28">
        <f t="shared" si="3"/>
        <v>222.3</v>
      </c>
      <c r="G64" s="20"/>
    </row>
    <row r="65">
      <c r="A65" s="19" t="str">
        <f>refs!A10</f>
        <v>Pull-ups</v>
      </c>
      <c r="B65" s="19">
        <f>refs!B10</f>
        <v>5</v>
      </c>
      <c r="C65" s="19">
        <v>8.0</v>
      </c>
      <c r="D65" s="31"/>
      <c r="E65" s="19">
        <f>refs!C10</f>
        <v>0</v>
      </c>
      <c r="F65" s="31" t="str">
        <f t="shared" si="3"/>
        <v>?</v>
      </c>
      <c r="G65" s="20"/>
    </row>
    <row r="66">
      <c r="A66" s="19" t="str">
        <f>refs!A10</f>
        <v>Pull-ups</v>
      </c>
      <c r="B66" s="19">
        <f>refs!B10</f>
        <v>5</v>
      </c>
      <c r="C66" s="19">
        <v>8.0</v>
      </c>
      <c r="D66" s="31"/>
      <c r="E66" s="19">
        <f>refs!C10</f>
        <v>0</v>
      </c>
      <c r="F66" s="31" t="str">
        <f t="shared" si="3"/>
        <v>?</v>
      </c>
      <c r="G66" s="20"/>
    </row>
    <row r="67">
      <c r="A67" s="19" t="str">
        <f>refs!A10</f>
        <v>Pull-ups</v>
      </c>
      <c r="B67" s="19">
        <f>refs!B10</f>
        <v>5</v>
      </c>
      <c r="C67" s="19">
        <v>8.0</v>
      </c>
      <c r="D67" s="31"/>
      <c r="E67" s="19">
        <f>refs!C10</f>
        <v>0</v>
      </c>
      <c r="F67" s="31" t="str">
        <f t="shared" si="3"/>
        <v>?</v>
      </c>
      <c r="G67" s="20"/>
    </row>
    <row r="68">
      <c r="A68" s="19" t="str">
        <f>refs!A10</f>
        <v>Pull-ups</v>
      </c>
      <c r="B68" s="19">
        <f>refs!B10</f>
        <v>5</v>
      </c>
      <c r="C68" s="19">
        <v>8.0</v>
      </c>
      <c r="D68" s="31"/>
      <c r="E68" s="19">
        <f>refs!C10</f>
        <v>0</v>
      </c>
      <c r="F68" s="31" t="str">
        <f t="shared" si="3"/>
        <v>?</v>
      </c>
      <c r="G68" s="20"/>
    </row>
    <row r="69">
      <c r="A69" s="21" t="str">
        <f>refs!A11</f>
        <v>Dips</v>
      </c>
      <c r="B69" s="21">
        <f>refs!B11</f>
        <v>8</v>
      </c>
      <c r="C69" s="21">
        <v>8.0</v>
      </c>
      <c r="D69" s="32"/>
      <c r="E69" s="21">
        <f>refs!C11</f>
        <v>0</v>
      </c>
      <c r="F69" s="32" t="str">
        <f t="shared" si="3"/>
        <v>?</v>
      </c>
      <c r="G69" s="20"/>
    </row>
    <row r="70">
      <c r="A70" s="21" t="str">
        <f>refs!A11</f>
        <v>Dips</v>
      </c>
      <c r="B70" s="21">
        <f>refs!B11</f>
        <v>8</v>
      </c>
      <c r="C70" s="21">
        <v>8.0</v>
      </c>
      <c r="D70" s="32"/>
      <c r="E70" s="21">
        <f>refs!C11</f>
        <v>0</v>
      </c>
      <c r="F70" s="32" t="str">
        <f t="shared" si="3"/>
        <v>?</v>
      </c>
      <c r="G70" s="20"/>
    </row>
    <row r="71">
      <c r="A71" s="21" t="str">
        <f>refs!A11</f>
        <v>Dips</v>
      </c>
      <c r="B71" s="21">
        <f>refs!B11</f>
        <v>8</v>
      </c>
      <c r="C71" s="21">
        <v>8.0</v>
      </c>
      <c r="D71" s="32"/>
      <c r="E71" s="21">
        <f>refs!C11</f>
        <v>0</v>
      </c>
      <c r="F71" s="32" t="str">
        <f t="shared" si="3"/>
        <v>?</v>
      </c>
      <c r="G71" s="20"/>
    </row>
    <row r="72">
      <c r="A72" s="21" t="str">
        <f>refs!A11</f>
        <v>Dips</v>
      </c>
      <c r="B72" s="21">
        <f>refs!B11</f>
        <v>8</v>
      </c>
      <c r="C72" s="21">
        <v>8.0</v>
      </c>
      <c r="D72" s="32"/>
      <c r="E72" s="21">
        <f>refs!C11</f>
        <v>0</v>
      </c>
      <c r="F72" s="32" t="str">
        <f t="shared" si="3"/>
        <v>?</v>
      </c>
      <c r="G72" s="33"/>
    </row>
    <row r="73">
      <c r="A73" s="22" t="str">
        <f>refs!A12</f>
        <v>Lateral raises</v>
      </c>
      <c r="B73" s="22">
        <f>refs!B12</f>
        <v>15</v>
      </c>
      <c r="C73" s="22">
        <v>8.0</v>
      </c>
      <c r="D73" s="34"/>
      <c r="E73" s="22">
        <f>refs!C12</f>
        <v>14</v>
      </c>
      <c r="F73" s="34">
        <f t="shared" si="3"/>
        <v>21.9</v>
      </c>
      <c r="G73" s="35">
        <v>2.0</v>
      </c>
    </row>
    <row r="74">
      <c r="A74" s="22" t="str">
        <f>refs!A12</f>
        <v>Lateral raises</v>
      </c>
      <c r="B74" s="22">
        <f>refs!B12</f>
        <v>15</v>
      </c>
      <c r="C74" s="22">
        <v>8.0</v>
      </c>
      <c r="D74" s="34"/>
      <c r="E74" s="22">
        <f>refs!C12</f>
        <v>14</v>
      </c>
      <c r="F74" s="34">
        <f t="shared" si="3"/>
        <v>21.9</v>
      </c>
      <c r="G74" s="20"/>
    </row>
    <row r="75">
      <c r="A75" s="22" t="str">
        <f>refs!A12</f>
        <v>Lateral raises</v>
      </c>
      <c r="B75" s="22">
        <f>refs!B12</f>
        <v>15</v>
      </c>
      <c r="C75" s="22">
        <v>8.0</v>
      </c>
      <c r="D75" s="34"/>
      <c r="E75" s="22">
        <f>refs!C12</f>
        <v>14</v>
      </c>
      <c r="F75" s="34">
        <f t="shared" si="3"/>
        <v>21.9</v>
      </c>
      <c r="G75" s="20"/>
    </row>
    <row r="76">
      <c r="A76" s="22" t="str">
        <f>refs!A12</f>
        <v>Lateral raises</v>
      </c>
      <c r="B76" s="22">
        <f>refs!B12</f>
        <v>15</v>
      </c>
      <c r="C76" s="22">
        <v>8.0</v>
      </c>
      <c r="D76" s="34"/>
      <c r="E76" s="22">
        <f>refs!C12</f>
        <v>14</v>
      </c>
      <c r="F76" s="34">
        <f t="shared" si="3"/>
        <v>21.9</v>
      </c>
      <c r="G76" s="20"/>
    </row>
    <row r="77">
      <c r="A77" s="23" t="str">
        <f>refs!A13</f>
        <v>Strict curl</v>
      </c>
      <c r="B77" s="23">
        <f>refs!B13</f>
        <v>15</v>
      </c>
      <c r="C77" s="23">
        <v>8.0</v>
      </c>
      <c r="D77" s="36"/>
      <c r="E77" s="23">
        <f>refs!C13</f>
        <v>14</v>
      </c>
      <c r="F77" s="36">
        <f t="shared" si="3"/>
        <v>21.9</v>
      </c>
      <c r="G77" s="20"/>
    </row>
    <row r="78">
      <c r="A78" s="23" t="str">
        <f>refs!A13</f>
        <v>Strict curl</v>
      </c>
      <c r="B78" s="23">
        <f>refs!B13</f>
        <v>15</v>
      </c>
      <c r="C78" s="23">
        <v>8.0</v>
      </c>
      <c r="D78" s="36"/>
      <c r="E78" s="23">
        <f>refs!C13</f>
        <v>14</v>
      </c>
      <c r="F78" s="36">
        <f t="shared" si="3"/>
        <v>21.9</v>
      </c>
      <c r="G78" s="20"/>
    </row>
    <row r="79">
      <c r="A79" s="23" t="str">
        <f>refs!A13</f>
        <v>Strict curl</v>
      </c>
      <c r="B79" s="23">
        <f>refs!B13</f>
        <v>15</v>
      </c>
      <c r="C79" s="23">
        <v>8.0</v>
      </c>
      <c r="D79" s="36"/>
      <c r="E79" s="23">
        <f>refs!C13</f>
        <v>14</v>
      </c>
      <c r="F79" s="36">
        <f t="shared" si="3"/>
        <v>21.9</v>
      </c>
      <c r="G79" s="20"/>
    </row>
    <row r="80">
      <c r="A80" s="23" t="str">
        <f>refs!A13</f>
        <v>Strict curl</v>
      </c>
      <c r="B80" s="23">
        <f>refs!B13</f>
        <v>15</v>
      </c>
      <c r="C80" s="23">
        <v>8.0</v>
      </c>
      <c r="D80" s="36"/>
      <c r="E80" s="23">
        <f>refs!C13</f>
        <v>14</v>
      </c>
      <c r="F80" s="36">
        <f t="shared" si="3"/>
        <v>21.9</v>
      </c>
      <c r="G80" s="33"/>
    </row>
    <row r="82">
      <c r="A82" s="1" t="s">
        <v>38</v>
      </c>
      <c r="B82" s="3"/>
      <c r="C82" s="3"/>
      <c r="D82" s="3"/>
      <c r="E82" s="3"/>
      <c r="F82" s="3"/>
      <c r="G82" s="4"/>
    </row>
    <row r="83">
      <c r="A83" s="7" t="s">
        <v>3</v>
      </c>
      <c r="B83" s="7" t="s">
        <v>4</v>
      </c>
      <c r="C83" s="7" t="s">
        <v>5</v>
      </c>
      <c r="D83" s="7" t="s">
        <v>6</v>
      </c>
      <c r="E83" s="7" t="s">
        <v>7</v>
      </c>
      <c r="F83" s="7" t="s">
        <v>8</v>
      </c>
      <c r="G83" s="7" t="s">
        <v>9</v>
      </c>
    </row>
    <row r="84">
      <c r="A84" s="10" t="s">
        <v>11</v>
      </c>
      <c r="B84" s="10">
        <v>1.0</v>
      </c>
      <c r="C84" s="10">
        <v>6.0</v>
      </c>
      <c r="D84" s="10">
        <v>87.0</v>
      </c>
      <c r="E84" s="37">
        <f>D84/100*refs!B3</f>
        <v>104.4</v>
      </c>
      <c r="F84" s="37">
        <f t="shared" ref="F84:F101" si="4">IF(OR(C84="?",E84&lt;=0), "?", ROUND(E84*(1+(B84+(10-C84))/30),1))</f>
        <v>121.8</v>
      </c>
      <c r="G84" s="16">
        <v>1.0</v>
      </c>
    </row>
    <row r="85">
      <c r="A85" s="10" t="s">
        <v>11</v>
      </c>
      <c r="B85" s="10">
        <v>1.0</v>
      </c>
      <c r="C85" s="10">
        <v>8.0</v>
      </c>
      <c r="D85" s="10">
        <v>93.0</v>
      </c>
      <c r="E85" s="37">
        <f>D85/100*refs!B3</f>
        <v>111.6</v>
      </c>
      <c r="F85" s="37">
        <f t="shared" si="4"/>
        <v>122.8</v>
      </c>
      <c r="G85" s="20"/>
    </row>
    <row r="86">
      <c r="A86" s="10" t="s">
        <v>11</v>
      </c>
      <c r="B86" s="10">
        <v>1.0</v>
      </c>
      <c r="C86" s="10">
        <v>9.0</v>
      </c>
      <c r="D86" s="10">
        <v>96.0</v>
      </c>
      <c r="E86" s="37">
        <f>D86/100*refs!B3</f>
        <v>115.2</v>
      </c>
      <c r="F86" s="37">
        <f t="shared" si="4"/>
        <v>122.9</v>
      </c>
      <c r="G86" s="20"/>
    </row>
    <row r="87">
      <c r="A87" s="10" t="s">
        <v>11</v>
      </c>
      <c r="B87" s="10">
        <v>7.0</v>
      </c>
      <c r="C87" s="10">
        <v>8.0</v>
      </c>
      <c r="D87" s="10">
        <v>78.0</v>
      </c>
      <c r="E87" s="37">
        <f>D87/100*refs!B3</f>
        <v>93.6</v>
      </c>
      <c r="F87" s="37">
        <f t="shared" si="4"/>
        <v>121.7</v>
      </c>
      <c r="G87" s="20"/>
    </row>
    <row r="88">
      <c r="A88" s="10" t="s">
        <v>11</v>
      </c>
      <c r="B88" s="10">
        <v>7.0</v>
      </c>
      <c r="C88" s="24" t="s">
        <v>20</v>
      </c>
      <c r="D88" s="10">
        <v>69.0</v>
      </c>
      <c r="E88" s="37">
        <f>D88/100*refs!B3</f>
        <v>82.8</v>
      </c>
      <c r="F88" s="27" t="str">
        <f t="shared" si="4"/>
        <v>?</v>
      </c>
      <c r="G88" s="20"/>
    </row>
    <row r="89">
      <c r="A89" s="12" t="s">
        <v>12</v>
      </c>
      <c r="B89" s="12">
        <v>1.0</v>
      </c>
      <c r="C89" s="12">
        <v>6.0</v>
      </c>
      <c r="D89" s="12">
        <v>87.0</v>
      </c>
      <c r="E89" s="41">
        <f>D89/100*refs!B4</f>
        <v>82.65</v>
      </c>
      <c r="F89" s="41">
        <f t="shared" si="4"/>
        <v>96.4</v>
      </c>
      <c r="G89" s="20"/>
    </row>
    <row r="90">
      <c r="A90" s="12" t="s">
        <v>12</v>
      </c>
      <c r="B90" s="12">
        <v>1.0</v>
      </c>
      <c r="C90" s="12">
        <v>8.0</v>
      </c>
      <c r="D90" s="12">
        <v>93.0</v>
      </c>
      <c r="E90" s="41">
        <f>D90/100*refs!B4</f>
        <v>88.35</v>
      </c>
      <c r="F90" s="41">
        <f t="shared" si="4"/>
        <v>97.2</v>
      </c>
      <c r="G90" s="20"/>
    </row>
    <row r="91">
      <c r="A91" s="12" t="s">
        <v>12</v>
      </c>
      <c r="B91" s="12">
        <v>1.0</v>
      </c>
      <c r="C91" s="12">
        <v>9.0</v>
      </c>
      <c r="D91" s="12">
        <v>96.0</v>
      </c>
      <c r="E91" s="41">
        <f>D91/100*refs!B4</f>
        <v>91.2</v>
      </c>
      <c r="F91" s="41">
        <f t="shared" si="4"/>
        <v>97.3</v>
      </c>
      <c r="G91" s="20"/>
    </row>
    <row r="92">
      <c r="A92" s="9" t="s">
        <v>35</v>
      </c>
      <c r="B92" s="9">
        <v>5.0</v>
      </c>
      <c r="C92" s="9">
        <v>8.0</v>
      </c>
      <c r="D92" s="9">
        <v>82.0</v>
      </c>
      <c r="E92" s="14">
        <f>D92/100*refs!B4</f>
        <v>77.9</v>
      </c>
      <c r="F92" s="14">
        <f t="shared" si="4"/>
        <v>96.1</v>
      </c>
      <c r="G92" s="20"/>
    </row>
    <row r="93">
      <c r="A93" s="9" t="s">
        <v>35</v>
      </c>
      <c r="B93" s="9">
        <v>5.0</v>
      </c>
      <c r="C93" s="24" t="s">
        <v>20</v>
      </c>
      <c r="D93" s="9">
        <v>82.0</v>
      </c>
      <c r="E93" s="14">
        <f>D93/100*refs!B4</f>
        <v>77.9</v>
      </c>
      <c r="F93" s="27" t="str">
        <f t="shared" si="4"/>
        <v>?</v>
      </c>
      <c r="G93" s="20"/>
    </row>
    <row r="94">
      <c r="A94" s="25" t="str">
        <f>refs!A14</f>
        <v>Dumbbel rowing</v>
      </c>
      <c r="B94" s="25" t="str">
        <f>refs!B65</f>
        <v/>
      </c>
      <c r="C94" s="25">
        <v>8.0</v>
      </c>
      <c r="D94" s="43"/>
      <c r="E94" s="25">
        <f>refs!C14</f>
        <v>46</v>
      </c>
      <c r="F94" s="43">
        <f t="shared" si="4"/>
        <v>49.1</v>
      </c>
      <c r="G94" s="20"/>
    </row>
    <row r="95">
      <c r="A95" s="25" t="str">
        <f>refs!A14</f>
        <v>Dumbbel rowing</v>
      </c>
      <c r="B95" s="25" t="str">
        <f>refs!B65</f>
        <v/>
      </c>
      <c r="C95" s="25">
        <v>8.0</v>
      </c>
      <c r="D95" s="43"/>
      <c r="E95" s="25">
        <f>refs!C14</f>
        <v>46</v>
      </c>
      <c r="F95" s="43">
        <f t="shared" si="4"/>
        <v>49.1</v>
      </c>
      <c r="G95" s="20"/>
    </row>
    <row r="96">
      <c r="A96" s="25" t="str">
        <f>refs!A14</f>
        <v>Dumbbel rowing</v>
      </c>
      <c r="B96" s="25" t="str">
        <f>refs!B65</f>
        <v/>
      </c>
      <c r="C96" s="25">
        <v>8.0</v>
      </c>
      <c r="D96" s="43"/>
      <c r="E96" s="25">
        <f>refs!C14</f>
        <v>46</v>
      </c>
      <c r="F96" s="43">
        <f t="shared" si="4"/>
        <v>49.1</v>
      </c>
      <c r="G96" s="20"/>
    </row>
    <row r="97">
      <c r="A97" s="25" t="str">
        <f>refs!A14</f>
        <v>Dumbbel rowing</v>
      </c>
      <c r="B97" s="25" t="str">
        <f>refs!B65</f>
        <v/>
      </c>
      <c r="C97" s="25">
        <v>8.0</v>
      </c>
      <c r="D97" s="43"/>
      <c r="E97" s="25">
        <f>refs!C14</f>
        <v>46</v>
      </c>
      <c r="F97" s="43">
        <f t="shared" si="4"/>
        <v>49.1</v>
      </c>
      <c r="G97" s="20"/>
    </row>
    <row r="98">
      <c r="A98" s="44" t="str">
        <f>refs!A15</f>
        <v>Hammer curl</v>
      </c>
      <c r="B98" s="44" t="str">
        <f>refs!B66</f>
        <v/>
      </c>
      <c r="C98" s="44">
        <v>8.0</v>
      </c>
      <c r="D98" s="45"/>
      <c r="E98" s="44">
        <f>refs!C15</f>
        <v>26</v>
      </c>
      <c r="F98" s="45">
        <f t="shared" si="4"/>
        <v>27.7</v>
      </c>
      <c r="G98" s="20"/>
    </row>
    <row r="99">
      <c r="A99" s="44" t="str">
        <f>refs!A15</f>
        <v>Hammer curl</v>
      </c>
      <c r="B99" s="44" t="str">
        <f>refs!B66</f>
        <v/>
      </c>
      <c r="C99" s="44">
        <v>8.0</v>
      </c>
      <c r="D99" s="45"/>
      <c r="E99" s="44">
        <f>refs!C15</f>
        <v>26</v>
      </c>
      <c r="F99" s="45">
        <f t="shared" si="4"/>
        <v>27.7</v>
      </c>
      <c r="G99" s="20"/>
    </row>
    <row r="100">
      <c r="A100" s="44" t="str">
        <f>refs!A15</f>
        <v>Hammer curl</v>
      </c>
      <c r="B100" s="44" t="str">
        <f>refs!B66</f>
        <v/>
      </c>
      <c r="C100" s="44">
        <v>8.0</v>
      </c>
      <c r="D100" s="45"/>
      <c r="E100" s="44">
        <f>refs!C15</f>
        <v>26</v>
      </c>
      <c r="F100" s="45">
        <f t="shared" si="4"/>
        <v>27.7</v>
      </c>
      <c r="G100" s="20"/>
    </row>
    <row r="101">
      <c r="A101" s="44" t="str">
        <f>refs!A15</f>
        <v>Hammer curl</v>
      </c>
      <c r="B101" s="44" t="str">
        <f>refs!B66</f>
        <v/>
      </c>
      <c r="C101" s="44">
        <v>8.0</v>
      </c>
      <c r="D101" s="45"/>
      <c r="E101" s="44">
        <f>refs!C15</f>
        <v>26</v>
      </c>
      <c r="F101" s="46">
        <f t="shared" si="4"/>
        <v>27.7</v>
      </c>
      <c r="G101" s="33"/>
    </row>
  </sheetData>
  <mergeCells count="10">
    <mergeCell ref="G73:G80"/>
    <mergeCell ref="A82:G82"/>
    <mergeCell ref="G84:G101"/>
    <mergeCell ref="A1:G1"/>
    <mergeCell ref="G3:G21"/>
    <mergeCell ref="G22:G29"/>
    <mergeCell ref="A31:G31"/>
    <mergeCell ref="G33:G51"/>
    <mergeCell ref="A53:G53"/>
    <mergeCell ref="G55:G7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2" t="s">
        <v>25</v>
      </c>
      <c r="B1" s="3"/>
      <c r="C1" s="3"/>
      <c r="D1" s="3"/>
      <c r="E1" s="3"/>
      <c r="F1" s="3"/>
      <c r="G1" s="4"/>
      <c r="H1" s="5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/>
      <c r="G2" s="6" t="s">
        <v>9</v>
      </c>
      <c r="H2" s="5"/>
    </row>
    <row r="3">
      <c r="A3" s="8" t="s">
        <v>10</v>
      </c>
      <c r="B3" s="8">
        <v>3.0</v>
      </c>
      <c r="C3" s="8">
        <v>6.0</v>
      </c>
      <c r="D3" s="8">
        <v>82.0</v>
      </c>
      <c r="E3" s="11">
        <f>D3/100*refs!B4</f>
        <v>77.9</v>
      </c>
      <c r="F3" s="11">
        <f t="shared" ref="F3:F28" si="1">IF(OR(C3="?",E3&lt;=0), "?", ROUND(E3*(1+(B3+(10-C3))/30),1))</f>
        <v>96.1</v>
      </c>
      <c r="G3" s="16"/>
    </row>
    <row r="4">
      <c r="A4" s="8" t="s">
        <v>10</v>
      </c>
      <c r="B4" s="8">
        <v>3.0</v>
      </c>
      <c r="C4" s="8">
        <v>8.0</v>
      </c>
      <c r="D4" s="8">
        <v>87.0</v>
      </c>
      <c r="E4" s="11">
        <f>D4/100*refs!B4</f>
        <v>82.65</v>
      </c>
      <c r="F4" s="11">
        <f t="shared" si="1"/>
        <v>96.4</v>
      </c>
      <c r="G4" s="20"/>
    </row>
    <row r="5">
      <c r="A5" s="8" t="s">
        <v>10</v>
      </c>
      <c r="B5" s="8">
        <v>3.0</v>
      </c>
      <c r="C5" s="24" t="s">
        <v>20</v>
      </c>
      <c r="D5" s="8">
        <v>79.0</v>
      </c>
      <c r="E5" s="11">
        <f>D5/100*refs!B4</f>
        <v>75.05</v>
      </c>
      <c r="F5" s="27" t="str">
        <f t="shared" si="1"/>
        <v>?</v>
      </c>
      <c r="G5" s="20"/>
    </row>
    <row r="6">
      <c r="A6" s="8" t="s">
        <v>10</v>
      </c>
      <c r="B6" s="8">
        <v>3.0</v>
      </c>
      <c r="C6" s="24" t="s">
        <v>20</v>
      </c>
      <c r="D6" s="8">
        <v>75.0</v>
      </c>
      <c r="E6" s="11">
        <f>D6/100*refs!B4</f>
        <v>71.25</v>
      </c>
      <c r="F6" s="27" t="str">
        <f t="shared" si="1"/>
        <v>?</v>
      </c>
      <c r="G6" s="20"/>
    </row>
    <row r="7">
      <c r="A7" s="8" t="s">
        <v>10</v>
      </c>
      <c r="B7" s="8">
        <v>3.0</v>
      </c>
      <c r="C7" s="24" t="s">
        <v>20</v>
      </c>
      <c r="D7" s="8">
        <v>75.0</v>
      </c>
      <c r="E7" s="11">
        <f>D7/100*refs!B4</f>
        <v>71.25</v>
      </c>
      <c r="F7" s="27" t="str">
        <f t="shared" si="1"/>
        <v>?</v>
      </c>
      <c r="G7" s="20"/>
    </row>
    <row r="8">
      <c r="A8" s="13" t="s">
        <v>13</v>
      </c>
      <c r="B8" s="13">
        <v>3.0</v>
      </c>
      <c r="C8" s="13">
        <v>5.0</v>
      </c>
      <c r="D8" s="13">
        <v>79.0</v>
      </c>
      <c r="E8" s="28">
        <f>D8/100*refs!B5</f>
        <v>177.75</v>
      </c>
      <c r="F8" s="28">
        <f t="shared" si="1"/>
        <v>225.2</v>
      </c>
      <c r="G8" s="20"/>
    </row>
    <row r="9">
      <c r="A9" s="13" t="s">
        <v>13</v>
      </c>
      <c r="B9" s="13">
        <v>3.0</v>
      </c>
      <c r="C9" s="13">
        <v>7.0</v>
      </c>
      <c r="D9" s="13">
        <v>85.0</v>
      </c>
      <c r="E9" s="28">
        <f>D9/100*refs!B5</f>
        <v>191.25</v>
      </c>
      <c r="F9" s="28">
        <f t="shared" si="1"/>
        <v>229.5</v>
      </c>
      <c r="G9" s="20"/>
    </row>
    <row r="10">
      <c r="A10" s="13" t="s">
        <v>13</v>
      </c>
      <c r="B10" s="13">
        <v>3.0</v>
      </c>
      <c r="C10" s="13">
        <v>5.0</v>
      </c>
      <c r="D10" s="13">
        <v>79.0</v>
      </c>
      <c r="E10" s="28">
        <f>D10/100*refs!B5</f>
        <v>177.75</v>
      </c>
      <c r="F10" s="28">
        <f t="shared" si="1"/>
        <v>225.2</v>
      </c>
      <c r="G10" s="20"/>
    </row>
    <row r="11">
      <c r="A11" s="29" t="s">
        <v>24</v>
      </c>
      <c r="B11" s="29">
        <v>3.0</v>
      </c>
      <c r="C11" s="29">
        <v>6.0</v>
      </c>
      <c r="D11" s="29">
        <v>75.0</v>
      </c>
      <c r="E11" s="30">
        <f>D11/100*refs!B5</f>
        <v>168.75</v>
      </c>
      <c r="F11" s="30">
        <f t="shared" si="1"/>
        <v>208.1</v>
      </c>
      <c r="G11" s="20"/>
    </row>
    <row r="12">
      <c r="A12" s="29" t="s">
        <v>24</v>
      </c>
      <c r="B12" s="29">
        <v>3.0</v>
      </c>
      <c r="C12" s="29">
        <v>6.0</v>
      </c>
      <c r="D12" s="29">
        <v>75.0</v>
      </c>
      <c r="E12" s="30">
        <f>D12/100*refs!B5</f>
        <v>168.75</v>
      </c>
      <c r="F12" s="30">
        <f t="shared" si="1"/>
        <v>208.1</v>
      </c>
      <c r="G12" s="20"/>
    </row>
    <row r="13">
      <c r="A13" s="19" t="str">
        <f>refs!A10</f>
        <v>Pull-ups</v>
      </c>
      <c r="B13" s="19">
        <f>refs!B10</f>
        <v>5</v>
      </c>
      <c r="C13" s="19">
        <v>8.0</v>
      </c>
      <c r="D13" s="31"/>
      <c r="E13" s="19">
        <f>refs!C10</f>
        <v>0</v>
      </c>
      <c r="F13" s="31" t="str">
        <f t="shared" si="1"/>
        <v>?</v>
      </c>
      <c r="G13" s="20"/>
    </row>
    <row r="14">
      <c r="A14" s="19" t="str">
        <f>refs!A10</f>
        <v>Pull-ups</v>
      </c>
      <c r="B14" s="19">
        <f>refs!B10</f>
        <v>5</v>
      </c>
      <c r="C14" s="19">
        <v>8.0</v>
      </c>
      <c r="D14" s="31"/>
      <c r="E14" s="19">
        <f>refs!C10</f>
        <v>0</v>
      </c>
      <c r="F14" s="31" t="str">
        <f t="shared" si="1"/>
        <v>?</v>
      </c>
      <c r="G14" s="20"/>
    </row>
    <row r="15">
      <c r="A15" s="19" t="str">
        <f>refs!A10</f>
        <v>Pull-ups</v>
      </c>
      <c r="B15" s="19">
        <f>refs!B10</f>
        <v>5</v>
      </c>
      <c r="C15" s="19">
        <v>8.0</v>
      </c>
      <c r="D15" s="31"/>
      <c r="E15" s="19">
        <f>refs!C10</f>
        <v>0</v>
      </c>
      <c r="F15" s="31" t="str">
        <f t="shared" si="1"/>
        <v>?</v>
      </c>
      <c r="G15" s="20"/>
    </row>
    <row r="16">
      <c r="A16" s="19" t="str">
        <f>refs!A10</f>
        <v>Pull-ups</v>
      </c>
      <c r="B16" s="19">
        <f>refs!B10</f>
        <v>5</v>
      </c>
      <c r="C16" s="19">
        <v>8.0</v>
      </c>
      <c r="D16" s="31"/>
      <c r="E16" s="19">
        <f>refs!C10</f>
        <v>0</v>
      </c>
      <c r="F16" s="31" t="str">
        <f t="shared" si="1"/>
        <v>?</v>
      </c>
      <c r="G16" s="20"/>
    </row>
    <row r="17">
      <c r="A17" s="21" t="str">
        <f>refs!A11</f>
        <v>Dips</v>
      </c>
      <c r="B17" s="21">
        <f>refs!B11</f>
        <v>8</v>
      </c>
      <c r="C17" s="21">
        <v>8.0</v>
      </c>
      <c r="D17" s="32"/>
      <c r="E17" s="21">
        <f>refs!C11</f>
        <v>0</v>
      </c>
      <c r="F17" s="32" t="str">
        <f t="shared" si="1"/>
        <v>?</v>
      </c>
      <c r="G17" s="20"/>
    </row>
    <row r="18">
      <c r="A18" s="21" t="str">
        <f>refs!A11</f>
        <v>Dips</v>
      </c>
      <c r="B18" s="21">
        <f>refs!B11</f>
        <v>8</v>
      </c>
      <c r="C18" s="21">
        <v>8.0</v>
      </c>
      <c r="D18" s="32"/>
      <c r="E18" s="21">
        <f>refs!C11</f>
        <v>0</v>
      </c>
      <c r="F18" s="32" t="str">
        <f t="shared" si="1"/>
        <v>?</v>
      </c>
      <c r="G18" s="20"/>
    </row>
    <row r="19">
      <c r="A19" s="21" t="str">
        <f>refs!A11</f>
        <v>Dips</v>
      </c>
      <c r="B19" s="21">
        <f>refs!B11</f>
        <v>8</v>
      </c>
      <c r="C19" s="21">
        <v>8.0</v>
      </c>
      <c r="D19" s="32"/>
      <c r="E19" s="21">
        <f>refs!C11</f>
        <v>0</v>
      </c>
      <c r="F19" s="32" t="str">
        <f t="shared" si="1"/>
        <v>?</v>
      </c>
      <c r="G19" s="20"/>
    </row>
    <row r="20">
      <c r="A20" s="21" t="str">
        <f>refs!A11</f>
        <v>Dips</v>
      </c>
      <c r="B20" s="21">
        <f>refs!B11</f>
        <v>8</v>
      </c>
      <c r="C20" s="21">
        <v>8.0</v>
      </c>
      <c r="D20" s="32"/>
      <c r="E20" s="21">
        <f>refs!C11</f>
        <v>0</v>
      </c>
      <c r="F20" s="32" t="str">
        <f t="shared" si="1"/>
        <v>?</v>
      </c>
      <c r="G20" s="33"/>
    </row>
    <row r="21">
      <c r="A21" s="22" t="str">
        <f>refs!A12</f>
        <v>Lateral raises</v>
      </c>
      <c r="B21" s="22">
        <f>refs!B12</f>
        <v>15</v>
      </c>
      <c r="C21" s="22">
        <v>8.0</v>
      </c>
      <c r="D21" s="34"/>
      <c r="E21" s="22">
        <f>refs!C12</f>
        <v>14</v>
      </c>
      <c r="F21" s="34">
        <f t="shared" si="1"/>
        <v>21.9</v>
      </c>
      <c r="G21" s="35">
        <v>2.0</v>
      </c>
    </row>
    <row r="22">
      <c r="A22" s="22" t="str">
        <f>refs!A12</f>
        <v>Lateral raises</v>
      </c>
      <c r="B22" s="22">
        <f>refs!B12</f>
        <v>15</v>
      </c>
      <c r="C22" s="22">
        <v>8.0</v>
      </c>
      <c r="D22" s="34"/>
      <c r="E22" s="22">
        <f>refs!C12</f>
        <v>14</v>
      </c>
      <c r="F22" s="34">
        <f t="shared" si="1"/>
        <v>21.9</v>
      </c>
      <c r="G22" s="20"/>
    </row>
    <row r="23">
      <c r="A23" s="22" t="str">
        <f>refs!A12</f>
        <v>Lateral raises</v>
      </c>
      <c r="B23" s="22">
        <f>refs!B12</f>
        <v>15</v>
      </c>
      <c r="C23" s="22">
        <v>8.0</v>
      </c>
      <c r="D23" s="34"/>
      <c r="E23" s="22">
        <f>refs!C12</f>
        <v>14</v>
      </c>
      <c r="F23" s="34">
        <f t="shared" si="1"/>
        <v>21.9</v>
      </c>
      <c r="G23" s="20"/>
    </row>
    <row r="24">
      <c r="A24" s="22" t="str">
        <f>refs!A12</f>
        <v>Lateral raises</v>
      </c>
      <c r="B24" s="22">
        <f>refs!B12</f>
        <v>15</v>
      </c>
      <c r="C24" s="22">
        <v>8.0</v>
      </c>
      <c r="D24" s="34"/>
      <c r="E24" s="22">
        <f>refs!C12</f>
        <v>14</v>
      </c>
      <c r="F24" s="34">
        <f t="shared" si="1"/>
        <v>21.9</v>
      </c>
      <c r="G24" s="20"/>
    </row>
    <row r="25">
      <c r="A25" s="23" t="str">
        <f>refs!A13</f>
        <v>Strict curl</v>
      </c>
      <c r="B25" s="23">
        <f>refs!B13</f>
        <v>15</v>
      </c>
      <c r="C25" s="23">
        <v>8.0</v>
      </c>
      <c r="D25" s="36"/>
      <c r="E25" s="23">
        <f>refs!C13</f>
        <v>14</v>
      </c>
      <c r="F25" s="36">
        <f t="shared" si="1"/>
        <v>21.9</v>
      </c>
      <c r="G25" s="20"/>
    </row>
    <row r="26">
      <c r="A26" s="23" t="str">
        <f>refs!A13</f>
        <v>Strict curl</v>
      </c>
      <c r="B26" s="23">
        <f>refs!B13</f>
        <v>15</v>
      </c>
      <c r="C26" s="23">
        <v>8.0</v>
      </c>
      <c r="D26" s="36"/>
      <c r="E26" s="23">
        <f>refs!C13</f>
        <v>14</v>
      </c>
      <c r="F26" s="36">
        <f t="shared" si="1"/>
        <v>21.9</v>
      </c>
      <c r="G26" s="20"/>
    </row>
    <row r="27">
      <c r="A27" s="23" t="str">
        <f>refs!A13</f>
        <v>Strict curl</v>
      </c>
      <c r="B27" s="23">
        <f>refs!B13</f>
        <v>15</v>
      </c>
      <c r="C27" s="23">
        <v>8.0</v>
      </c>
      <c r="D27" s="36"/>
      <c r="E27" s="23">
        <f>refs!C13</f>
        <v>14</v>
      </c>
      <c r="F27" s="36">
        <f t="shared" si="1"/>
        <v>21.9</v>
      </c>
      <c r="G27" s="20"/>
    </row>
    <row r="28">
      <c r="A28" s="23" t="str">
        <f>refs!A13</f>
        <v>Strict curl</v>
      </c>
      <c r="B28" s="23">
        <f>refs!B13</f>
        <v>15</v>
      </c>
      <c r="C28" s="23">
        <v>8.0</v>
      </c>
      <c r="D28" s="36"/>
      <c r="E28" s="23">
        <f>refs!C13</f>
        <v>14</v>
      </c>
      <c r="F28" s="36">
        <f t="shared" si="1"/>
        <v>21.9</v>
      </c>
      <c r="G28" s="33"/>
    </row>
    <row r="30">
      <c r="A30" s="1">
        <f>refs!B14</f>
        <v>8</v>
      </c>
      <c r="B30" s="3"/>
      <c r="C30" s="3"/>
      <c r="D30" s="3"/>
      <c r="E30" s="3"/>
      <c r="F30" s="3"/>
      <c r="G30" s="4"/>
    </row>
    <row r="31">
      <c r="A31" s="6" t="s">
        <v>3</v>
      </c>
      <c r="B31" s="6" t="s">
        <v>4</v>
      </c>
      <c r="C31" s="6" t="s">
        <v>5</v>
      </c>
      <c r="D31" s="6" t="s">
        <v>6</v>
      </c>
      <c r="E31" s="6" t="s">
        <v>7</v>
      </c>
      <c r="F31" s="6" t="s">
        <v>8</v>
      </c>
      <c r="G31" s="6" t="s">
        <v>9</v>
      </c>
    </row>
    <row r="32">
      <c r="A32" s="10" t="s">
        <v>11</v>
      </c>
      <c r="B32" s="10">
        <v>3.0</v>
      </c>
      <c r="C32" s="10">
        <v>5.0</v>
      </c>
      <c r="D32" s="10">
        <v>79.0</v>
      </c>
      <c r="E32" s="37">
        <f>D32/100*refs!B3</f>
        <v>94.8</v>
      </c>
      <c r="F32" s="37">
        <f t="shared" ref="F32:F48" si="2">IF(OR(C32="?",E32&lt;=0), "?", ROUND(E32*(1+(B32+(10-C32))/30),1))</f>
        <v>120.1</v>
      </c>
      <c r="G32" s="16">
        <v>1.0</v>
      </c>
    </row>
    <row r="33">
      <c r="A33" s="10" t="s">
        <v>11</v>
      </c>
      <c r="B33" s="10">
        <v>3.0</v>
      </c>
      <c r="C33" s="10">
        <v>7.0</v>
      </c>
      <c r="D33" s="10">
        <v>84.0</v>
      </c>
      <c r="E33" s="37">
        <f>D33/100*refs!B3</f>
        <v>100.8</v>
      </c>
      <c r="F33" s="37">
        <f t="shared" si="2"/>
        <v>121</v>
      </c>
      <c r="G33" s="20"/>
    </row>
    <row r="34">
      <c r="A34" s="10" t="s">
        <v>11</v>
      </c>
      <c r="B34" s="10">
        <v>3.0</v>
      </c>
      <c r="C34" s="10">
        <v>5.0</v>
      </c>
      <c r="D34" s="10">
        <v>79.0</v>
      </c>
      <c r="E34" s="37">
        <f>D34/100*refs!B3</f>
        <v>94.8</v>
      </c>
      <c r="F34" s="37">
        <f t="shared" si="2"/>
        <v>120.1</v>
      </c>
      <c r="G34" s="20"/>
    </row>
    <row r="35">
      <c r="A35" s="39" t="s">
        <v>28</v>
      </c>
      <c r="B35" s="39">
        <v>5.0</v>
      </c>
      <c r="C35" s="39">
        <v>7.0</v>
      </c>
      <c r="D35" s="39">
        <v>77.0</v>
      </c>
      <c r="E35" s="40">
        <f>D35/100*refs!B3</f>
        <v>92.4</v>
      </c>
      <c r="F35" s="37">
        <f t="shared" si="2"/>
        <v>117</v>
      </c>
      <c r="G35" s="20"/>
    </row>
    <row r="36">
      <c r="A36" s="39" t="s">
        <v>28</v>
      </c>
      <c r="B36" s="39">
        <v>5.0</v>
      </c>
      <c r="C36" s="39">
        <v>7.0</v>
      </c>
      <c r="D36" s="39">
        <v>77.0</v>
      </c>
      <c r="E36" s="40">
        <f>D36/100*refs!B3</f>
        <v>92.4</v>
      </c>
      <c r="F36" s="37">
        <f t="shared" si="2"/>
        <v>117</v>
      </c>
      <c r="G36" s="20"/>
    </row>
    <row r="37">
      <c r="A37" s="12" t="s">
        <v>12</v>
      </c>
      <c r="B37" s="12">
        <v>7.0</v>
      </c>
      <c r="C37" s="12">
        <v>6.0</v>
      </c>
      <c r="D37" s="12">
        <v>71.0</v>
      </c>
      <c r="E37" s="41">
        <f>D37/100*refs!B4</f>
        <v>67.45</v>
      </c>
      <c r="F37" s="41">
        <f t="shared" si="2"/>
        <v>92.2</v>
      </c>
      <c r="G37" s="20"/>
    </row>
    <row r="38">
      <c r="A38" s="12" t="s">
        <v>12</v>
      </c>
      <c r="B38" s="12">
        <v>7.0</v>
      </c>
      <c r="C38" s="12">
        <v>8.0</v>
      </c>
      <c r="D38" s="12">
        <v>77.0</v>
      </c>
      <c r="E38" s="41">
        <f>D38/100*refs!B4</f>
        <v>73.15</v>
      </c>
      <c r="F38" s="41">
        <f t="shared" si="2"/>
        <v>95.1</v>
      </c>
      <c r="G38" s="20"/>
    </row>
    <row r="39">
      <c r="A39" s="12" t="s">
        <v>12</v>
      </c>
      <c r="B39" s="12">
        <v>7.0</v>
      </c>
      <c r="C39" s="24" t="s">
        <v>20</v>
      </c>
      <c r="D39" s="12">
        <v>71.0</v>
      </c>
      <c r="E39" s="41">
        <f>D39/100*refs!B4</f>
        <v>67.45</v>
      </c>
      <c r="F39" s="27" t="str">
        <f t="shared" si="2"/>
        <v>?</v>
      </c>
      <c r="G39" s="20"/>
    </row>
    <row r="40">
      <c r="A40" s="12" t="s">
        <v>12</v>
      </c>
      <c r="B40" s="12">
        <v>7.0</v>
      </c>
      <c r="C40" s="24" t="s">
        <v>20</v>
      </c>
      <c r="D40" s="12">
        <v>66.0</v>
      </c>
      <c r="E40" s="41">
        <f>D40/100*refs!B4</f>
        <v>62.7</v>
      </c>
      <c r="F40" s="27" t="str">
        <f t="shared" si="2"/>
        <v>?</v>
      </c>
      <c r="G40" s="20"/>
    </row>
    <row r="41">
      <c r="A41" s="25" t="str">
        <f>refs!A14</f>
        <v>Dumbbel rowing</v>
      </c>
      <c r="B41" s="25">
        <f>refs!B14</f>
        <v>8</v>
      </c>
      <c r="C41" s="25">
        <v>8.0</v>
      </c>
      <c r="D41" s="43"/>
      <c r="E41" s="25">
        <f>refs!C14</f>
        <v>46</v>
      </c>
      <c r="F41" s="43">
        <f t="shared" si="2"/>
        <v>61.3</v>
      </c>
      <c r="G41" s="20"/>
    </row>
    <row r="42">
      <c r="A42" s="25" t="str">
        <f>refs!A14</f>
        <v>Dumbbel rowing</v>
      </c>
      <c r="B42" s="25">
        <f>refs!B14</f>
        <v>8</v>
      </c>
      <c r="C42" s="25">
        <v>8.0</v>
      </c>
      <c r="D42" s="43"/>
      <c r="E42" s="25">
        <f>refs!C14</f>
        <v>46</v>
      </c>
      <c r="F42" s="43">
        <f t="shared" si="2"/>
        <v>61.3</v>
      </c>
      <c r="G42" s="20"/>
    </row>
    <row r="43">
      <c r="A43" s="25" t="str">
        <f>refs!A14</f>
        <v>Dumbbel rowing</v>
      </c>
      <c r="B43" s="25">
        <f>refs!B14</f>
        <v>8</v>
      </c>
      <c r="C43" s="25">
        <v>8.0</v>
      </c>
      <c r="D43" s="43"/>
      <c r="E43" s="25">
        <f>refs!C14</f>
        <v>46</v>
      </c>
      <c r="F43" s="43">
        <f t="shared" si="2"/>
        <v>61.3</v>
      </c>
      <c r="G43" s="20"/>
    </row>
    <row r="44">
      <c r="A44" s="25" t="str">
        <f>refs!A14</f>
        <v>Dumbbel rowing</v>
      </c>
      <c r="B44" s="25">
        <f>refs!B14</f>
        <v>8</v>
      </c>
      <c r="C44" s="25">
        <v>8.0</v>
      </c>
      <c r="D44" s="43"/>
      <c r="E44" s="25">
        <f>refs!C14</f>
        <v>46</v>
      </c>
      <c r="F44" s="43">
        <f t="shared" si="2"/>
        <v>61.3</v>
      </c>
      <c r="G44" s="20"/>
    </row>
    <row r="45">
      <c r="A45" s="44" t="str">
        <f>refs!A15</f>
        <v>Hammer curl</v>
      </c>
      <c r="B45" s="44">
        <f>refs!B15</f>
        <v>8</v>
      </c>
      <c r="C45" s="44">
        <v>8.0</v>
      </c>
      <c r="D45" s="45"/>
      <c r="E45" s="44">
        <f>refs!C15</f>
        <v>26</v>
      </c>
      <c r="F45" s="45">
        <f t="shared" si="2"/>
        <v>34.7</v>
      </c>
      <c r="G45" s="20"/>
    </row>
    <row r="46">
      <c r="A46" s="44" t="str">
        <f>refs!A15</f>
        <v>Hammer curl</v>
      </c>
      <c r="B46" s="44">
        <f>refs!B15</f>
        <v>8</v>
      </c>
      <c r="C46" s="44">
        <v>8.0</v>
      </c>
      <c r="D46" s="45"/>
      <c r="E46" s="44">
        <f>refs!C15</f>
        <v>26</v>
      </c>
      <c r="F46" s="45">
        <f t="shared" si="2"/>
        <v>34.7</v>
      </c>
      <c r="G46" s="20"/>
    </row>
    <row r="47">
      <c r="A47" s="44" t="str">
        <f>refs!A15</f>
        <v>Hammer curl</v>
      </c>
      <c r="B47" s="44">
        <f>refs!B15</f>
        <v>8</v>
      </c>
      <c r="C47" s="44">
        <v>8.0</v>
      </c>
      <c r="D47" s="45"/>
      <c r="E47" s="44">
        <f>refs!C15</f>
        <v>26</v>
      </c>
      <c r="F47" s="45">
        <f t="shared" si="2"/>
        <v>34.7</v>
      </c>
      <c r="G47" s="20"/>
    </row>
    <row r="48">
      <c r="A48" s="44" t="str">
        <f>refs!A15</f>
        <v>Hammer curl</v>
      </c>
      <c r="B48" s="44">
        <f>refs!B15</f>
        <v>8</v>
      </c>
      <c r="C48" s="44">
        <v>8.0</v>
      </c>
      <c r="D48" s="45"/>
      <c r="E48" s="44">
        <f>refs!C15</f>
        <v>26</v>
      </c>
      <c r="F48" s="46">
        <f t="shared" si="2"/>
        <v>34.7</v>
      </c>
      <c r="G48" s="33"/>
    </row>
    <row r="50">
      <c r="A50" s="1" t="s">
        <v>30</v>
      </c>
      <c r="B50" s="3"/>
      <c r="C50" s="3"/>
      <c r="D50" s="3"/>
      <c r="E50" s="3"/>
      <c r="F50" s="3"/>
      <c r="G50" s="4"/>
    </row>
    <row r="51">
      <c r="A51" s="7" t="s">
        <v>3</v>
      </c>
      <c r="B51" s="7" t="s">
        <v>4</v>
      </c>
      <c r="C51" s="7" t="s">
        <v>5</v>
      </c>
      <c r="D51" s="7" t="s">
        <v>6</v>
      </c>
      <c r="E51" s="7" t="s">
        <v>7</v>
      </c>
      <c r="F51" s="7" t="s">
        <v>8</v>
      </c>
      <c r="G51" s="7" t="s">
        <v>9</v>
      </c>
    </row>
    <row r="52">
      <c r="A52" s="8" t="s">
        <v>31</v>
      </c>
      <c r="B52" s="8">
        <v>4.0</v>
      </c>
      <c r="C52" s="8">
        <v>5.0</v>
      </c>
      <c r="D52" s="8">
        <v>77.0</v>
      </c>
      <c r="E52" s="11">
        <f>D52/100*refs!B4</f>
        <v>73.15</v>
      </c>
      <c r="F52" s="11">
        <f t="shared" ref="F52:F76" si="3">IF(OR(C52="?",E52&lt;=0), "?", ROUND(E52*(1+(B52+(10-C52))/30),1))</f>
        <v>95.1</v>
      </c>
      <c r="G52" s="16"/>
    </row>
    <row r="53">
      <c r="A53" s="8" t="s">
        <v>31</v>
      </c>
      <c r="B53" s="8">
        <v>4.0</v>
      </c>
      <c r="C53" s="8">
        <v>6.0</v>
      </c>
      <c r="D53" s="8">
        <v>79.0</v>
      </c>
      <c r="E53" s="11">
        <f>D53/100*refs!B4</f>
        <v>75.05</v>
      </c>
      <c r="F53" s="11">
        <f t="shared" si="3"/>
        <v>95.1</v>
      </c>
      <c r="G53" s="20"/>
    </row>
    <row r="54">
      <c r="A54" s="8" t="s">
        <v>31</v>
      </c>
      <c r="B54" s="8">
        <v>8.0</v>
      </c>
      <c r="C54" s="8">
        <v>6.0</v>
      </c>
      <c r="D54" s="8">
        <v>69.0</v>
      </c>
      <c r="E54" s="11">
        <f>D54/100*refs!B4</f>
        <v>65.55</v>
      </c>
      <c r="F54" s="11">
        <f t="shared" si="3"/>
        <v>91.8</v>
      </c>
      <c r="G54" s="20"/>
    </row>
    <row r="55">
      <c r="A55" s="13" t="s">
        <v>13</v>
      </c>
      <c r="B55" s="13">
        <v>1.0</v>
      </c>
      <c r="C55" s="13">
        <v>6.0</v>
      </c>
      <c r="D55" s="13">
        <v>87.0</v>
      </c>
      <c r="E55" s="28">
        <f>D55/100*refs!B5</f>
        <v>195.75</v>
      </c>
      <c r="F55" s="28">
        <f t="shared" si="3"/>
        <v>228.4</v>
      </c>
      <c r="G55" s="20"/>
    </row>
    <row r="56">
      <c r="A56" s="13" t="s">
        <v>13</v>
      </c>
      <c r="B56" s="13">
        <v>1.0</v>
      </c>
      <c r="C56" s="13">
        <v>8.0</v>
      </c>
      <c r="D56" s="13">
        <v>93.0</v>
      </c>
      <c r="E56" s="28">
        <f>D56/100*refs!B5</f>
        <v>209.25</v>
      </c>
      <c r="F56" s="28">
        <f t="shared" si="3"/>
        <v>230.2</v>
      </c>
      <c r="G56" s="20"/>
    </row>
    <row r="57">
      <c r="A57" s="13" t="s">
        <v>13</v>
      </c>
      <c r="B57" s="13">
        <v>1.0</v>
      </c>
      <c r="C57" s="13">
        <v>10.0</v>
      </c>
      <c r="D57" s="13">
        <v>100.0</v>
      </c>
      <c r="E57" s="28">
        <f>D57/100*refs!B5</f>
        <v>225</v>
      </c>
      <c r="F57" s="28">
        <f t="shared" si="3"/>
        <v>232.5</v>
      </c>
      <c r="G57" s="20"/>
    </row>
    <row r="58">
      <c r="A58" s="13" t="s">
        <v>13</v>
      </c>
      <c r="B58" s="13">
        <v>5.0</v>
      </c>
      <c r="C58" s="13">
        <v>6.0</v>
      </c>
      <c r="D58" s="13">
        <v>76.0</v>
      </c>
      <c r="E58" s="28">
        <f>D58/100*refs!B5</f>
        <v>171</v>
      </c>
      <c r="F58" s="28">
        <f t="shared" si="3"/>
        <v>222.3</v>
      </c>
      <c r="G58" s="20"/>
    </row>
    <row r="59">
      <c r="A59" s="13" t="s">
        <v>13</v>
      </c>
      <c r="B59" s="13">
        <v>5.0</v>
      </c>
      <c r="C59" s="13">
        <v>6.0</v>
      </c>
      <c r="D59" s="13">
        <v>76.0</v>
      </c>
      <c r="E59" s="28">
        <f>D59/100*refs!B5</f>
        <v>171</v>
      </c>
      <c r="F59" s="28">
        <f t="shared" si="3"/>
        <v>222.3</v>
      </c>
      <c r="G59" s="20"/>
    </row>
    <row r="60">
      <c r="A60" s="13" t="s">
        <v>13</v>
      </c>
      <c r="B60" s="13">
        <v>5.0</v>
      </c>
      <c r="C60" s="13">
        <v>6.0</v>
      </c>
      <c r="D60" s="13">
        <v>76.0</v>
      </c>
      <c r="E60" s="28">
        <f>D60/100*refs!B5</f>
        <v>171</v>
      </c>
      <c r="F60" s="28">
        <f t="shared" si="3"/>
        <v>222.3</v>
      </c>
      <c r="G60" s="20"/>
    </row>
    <row r="61">
      <c r="A61" s="19" t="str">
        <f>refs!A10</f>
        <v>Pull-ups</v>
      </c>
      <c r="B61" s="19">
        <f>refs!B10</f>
        <v>5</v>
      </c>
      <c r="C61" s="19">
        <v>8.0</v>
      </c>
      <c r="D61" s="31"/>
      <c r="E61" s="19">
        <f>refs!C10</f>
        <v>0</v>
      </c>
      <c r="F61" s="31" t="str">
        <f t="shared" si="3"/>
        <v>?</v>
      </c>
      <c r="G61" s="20"/>
    </row>
    <row r="62">
      <c r="A62" s="19" t="str">
        <f>refs!A10</f>
        <v>Pull-ups</v>
      </c>
      <c r="B62" s="19">
        <f>refs!B10</f>
        <v>5</v>
      </c>
      <c r="C62" s="19">
        <v>8.0</v>
      </c>
      <c r="D62" s="31"/>
      <c r="E62" s="19">
        <f>refs!C10</f>
        <v>0</v>
      </c>
      <c r="F62" s="31" t="str">
        <f t="shared" si="3"/>
        <v>?</v>
      </c>
      <c r="G62" s="20"/>
    </row>
    <row r="63">
      <c r="A63" s="19" t="str">
        <f>refs!A10</f>
        <v>Pull-ups</v>
      </c>
      <c r="B63" s="19">
        <f>refs!B10</f>
        <v>5</v>
      </c>
      <c r="C63" s="19">
        <v>8.0</v>
      </c>
      <c r="D63" s="31"/>
      <c r="E63" s="19">
        <f>refs!C10</f>
        <v>0</v>
      </c>
      <c r="F63" s="31" t="str">
        <f t="shared" si="3"/>
        <v>?</v>
      </c>
      <c r="G63" s="20"/>
    </row>
    <row r="64">
      <c r="A64" s="19" t="str">
        <f>refs!A10</f>
        <v>Pull-ups</v>
      </c>
      <c r="B64" s="19">
        <f>refs!B10</f>
        <v>5</v>
      </c>
      <c r="C64" s="19">
        <v>8.0</v>
      </c>
      <c r="D64" s="31"/>
      <c r="E64" s="19">
        <f>refs!C10</f>
        <v>0</v>
      </c>
      <c r="F64" s="31" t="str">
        <f t="shared" si="3"/>
        <v>?</v>
      </c>
      <c r="G64" s="20"/>
    </row>
    <row r="65">
      <c r="A65" s="21" t="str">
        <f>refs!A11</f>
        <v>Dips</v>
      </c>
      <c r="B65" s="21">
        <f>refs!B11</f>
        <v>8</v>
      </c>
      <c r="C65" s="21">
        <v>8.0</v>
      </c>
      <c r="D65" s="32"/>
      <c r="E65" s="21">
        <f>refs!C11</f>
        <v>0</v>
      </c>
      <c r="F65" s="32" t="str">
        <f t="shared" si="3"/>
        <v>?</v>
      </c>
      <c r="G65" s="20"/>
    </row>
    <row r="66">
      <c r="A66" s="21" t="str">
        <f>refs!A11</f>
        <v>Dips</v>
      </c>
      <c r="B66" s="21">
        <f>refs!B11</f>
        <v>8</v>
      </c>
      <c r="C66" s="21">
        <v>8.0</v>
      </c>
      <c r="D66" s="32"/>
      <c r="E66" s="21">
        <f>refs!C11</f>
        <v>0</v>
      </c>
      <c r="F66" s="32" t="str">
        <f t="shared" si="3"/>
        <v>?</v>
      </c>
      <c r="G66" s="20"/>
    </row>
    <row r="67">
      <c r="A67" s="21" t="str">
        <f>refs!A11</f>
        <v>Dips</v>
      </c>
      <c r="B67" s="21">
        <f>refs!B11</f>
        <v>8</v>
      </c>
      <c r="C67" s="21">
        <v>8.0</v>
      </c>
      <c r="D67" s="32"/>
      <c r="E67" s="21">
        <f>refs!C11</f>
        <v>0</v>
      </c>
      <c r="F67" s="32" t="str">
        <f t="shared" si="3"/>
        <v>?</v>
      </c>
      <c r="G67" s="20"/>
    </row>
    <row r="68">
      <c r="A68" s="21" t="str">
        <f>refs!A11</f>
        <v>Dips</v>
      </c>
      <c r="B68" s="21">
        <f>refs!B11</f>
        <v>8</v>
      </c>
      <c r="C68" s="21">
        <v>8.0</v>
      </c>
      <c r="D68" s="32"/>
      <c r="E68" s="21">
        <f>refs!C11</f>
        <v>0</v>
      </c>
      <c r="F68" s="32" t="str">
        <f t="shared" si="3"/>
        <v>?</v>
      </c>
      <c r="G68" s="33"/>
    </row>
    <row r="69">
      <c r="A69" s="22" t="str">
        <f>refs!A12</f>
        <v>Lateral raises</v>
      </c>
      <c r="B69" s="22">
        <f>refs!B12</f>
        <v>15</v>
      </c>
      <c r="C69" s="22">
        <v>8.0</v>
      </c>
      <c r="D69" s="34"/>
      <c r="E69" s="22">
        <f>refs!C12</f>
        <v>14</v>
      </c>
      <c r="F69" s="34">
        <f t="shared" si="3"/>
        <v>21.9</v>
      </c>
      <c r="G69" s="35">
        <v>2.0</v>
      </c>
    </row>
    <row r="70">
      <c r="A70" s="22" t="str">
        <f>refs!A12</f>
        <v>Lateral raises</v>
      </c>
      <c r="B70" s="22">
        <f>refs!B12</f>
        <v>15</v>
      </c>
      <c r="C70" s="22">
        <v>8.0</v>
      </c>
      <c r="D70" s="34"/>
      <c r="E70" s="22">
        <f>refs!C12</f>
        <v>14</v>
      </c>
      <c r="F70" s="34">
        <f t="shared" si="3"/>
        <v>21.9</v>
      </c>
      <c r="G70" s="20"/>
    </row>
    <row r="71">
      <c r="A71" s="22" t="str">
        <f>refs!A12</f>
        <v>Lateral raises</v>
      </c>
      <c r="B71" s="22">
        <f>refs!B12</f>
        <v>15</v>
      </c>
      <c r="C71" s="22">
        <v>8.0</v>
      </c>
      <c r="D71" s="34"/>
      <c r="E71" s="22">
        <f>refs!C12</f>
        <v>14</v>
      </c>
      <c r="F71" s="34">
        <f t="shared" si="3"/>
        <v>21.9</v>
      </c>
      <c r="G71" s="20"/>
    </row>
    <row r="72">
      <c r="A72" s="22" t="str">
        <f>refs!A12</f>
        <v>Lateral raises</v>
      </c>
      <c r="B72" s="22">
        <f>refs!B12</f>
        <v>15</v>
      </c>
      <c r="C72" s="22">
        <v>8.0</v>
      </c>
      <c r="D72" s="34"/>
      <c r="E72" s="22">
        <f>refs!C12</f>
        <v>14</v>
      </c>
      <c r="F72" s="34">
        <f t="shared" si="3"/>
        <v>21.9</v>
      </c>
      <c r="G72" s="20"/>
    </row>
    <row r="73">
      <c r="A73" s="23" t="str">
        <f>refs!A13</f>
        <v>Strict curl</v>
      </c>
      <c r="B73" s="23">
        <f>refs!B13</f>
        <v>15</v>
      </c>
      <c r="C73" s="23">
        <v>8.0</v>
      </c>
      <c r="D73" s="36"/>
      <c r="E73" s="23">
        <f>refs!C13</f>
        <v>14</v>
      </c>
      <c r="F73" s="36">
        <f t="shared" si="3"/>
        <v>21.9</v>
      </c>
      <c r="G73" s="20"/>
    </row>
    <row r="74">
      <c r="A74" s="23" t="str">
        <f>refs!A13</f>
        <v>Strict curl</v>
      </c>
      <c r="B74" s="23">
        <f>refs!B13</f>
        <v>15</v>
      </c>
      <c r="C74" s="23">
        <v>8.0</v>
      </c>
      <c r="D74" s="36"/>
      <c r="E74" s="23">
        <f>refs!C13</f>
        <v>14</v>
      </c>
      <c r="F74" s="36">
        <f t="shared" si="3"/>
        <v>21.9</v>
      </c>
      <c r="G74" s="20"/>
    </row>
    <row r="75">
      <c r="A75" s="23" t="str">
        <f>refs!A13</f>
        <v>Strict curl</v>
      </c>
      <c r="B75" s="23">
        <f>refs!B13</f>
        <v>15</v>
      </c>
      <c r="C75" s="23">
        <v>8.0</v>
      </c>
      <c r="D75" s="36"/>
      <c r="E75" s="23">
        <f>refs!C13</f>
        <v>14</v>
      </c>
      <c r="F75" s="36">
        <f t="shared" si="3"/>
        <v>21.9</v>
      </c>
      <c r="G75" s="20"/>
    </row>
    <row r="76">
      <c r="A76" s="23" t="str">
        <f>refs!A13</f>
        <v>Strict curl</v>
      </c>
      <c r="B76" s="23">
        <f>refs!B13</f>
        <v>15</v>
      </c>
      <c r="C76" s="23">
        <v>8.0</v>
      </c>
      <c r="D76" s="36"/>
      <c r="E76" s="23">
        <f>refs!C13</f>
        <v>14</v>
      </c>
      <c r="F76" s="36">
        <f t="shared" si="3"/>
        <v>21.9</v>
      </c>
      <c r="G76" s="33"/>
    </row>
    <row r="78">
      <c r="A78" s="1" t="s">
        <v>33</v>
      </c>
      <c r="B78" s="3"/>
      <c r="C78" s="3"/>
      <c r="D78" s="3"/>
      <c r="E78" s="3"/>
      <c r="F78" s="3"/>
      <c r="G78" s="4"/>
    </row>
    <row r="79">
      <c r="A79" s="7" t="s">
        <v>3</v>
      </c>
      <c r="B79" s="7" t="s">
        <v>4</v>
      </c>
      <c r="C79" s="7" t="s">
        <v>5</v>
      </c>
      <c r="D79" s="7" t="s">
        <v>6</v>
      </c>
      <c r="E79" s="7" t="s">
        <v>7</v>
      </c>
      <c r="F79" s="7"/>
      <c r="G79" s="7" t="s">
        <v>9</v>
      </c>
    </row>
    <row r="80">
      <c r="A80" s="10" t="s">
        <v>11</v>
      </c>
      <c r="B80" s="10">
        <v>1.0</v>
      </c>
      <c r="C80" s="10">
        <v>6.0</v>
      </c>
      <c r="D80" s="10">
        <v>87.0</v>
      </c>
      <c r="E80" s="37">
        <f>D80/100*refs!B3</f>
        <v>104.4</v>
      </c>
      <c r="F80" s="37">
        <f t="shared" ref="F80:F96" si="4">IF(OR(C80="?",E80&lt;=0), "?", ROUND(E80*(1+(B80+(10-C80))/30),1))</f>
        <v>121.8</v>
      </c>
      <c r="G80" s="16">
        <v>1.0</v>
      </c>
    </row>
    <row r="81">
      <c r="A81" s="10" t="s">
        <v>11</v>
      </c>
      <c r="B81" s="10">
        <v>1.0</v>
      </c>
      <c r="C81" s="10">
        <v>8.0</v>
      </c>
      <c r="D81" s="10">
        <v>93.0</v>
      </c>
      <c r="E81" s="37">
        <f>D81/100*refs!B3</f>
        <v>111.6</v>
      </c>
      <c r="F81" s="37">
        <f t="shared" si="4"/>
        <v>122.8</v>
      </c>
      <c r="G81" s="20"/>
    </row>
    <row r="82">
      <c r="A82" s="10" t="s">
        <v>11</v>
      </c>
      <c r="B82" s="10">
        <v>1.0</v>
      </c>
      <c r="C82" s="10">
        <v>10.0</v>
      </c>
      <c r="D82" s="10">
        <v>100.0</v>
      </c>
      <c r="E82" s="37">
        <f>D82/100*refs!B3</f>
        <v>120</v>
      </c>
      <c r="F82" s="37">
        <f t="shared" si="4"/>
        <v>124</v>
      </c>
      <c r="G82" s="20"/>
    </row>
    <row r="83">
      <c r="A83" s="10" t="s">
        <v>11</v>
      </c>
      <c r="B83" s="10">
        <v>7.0</v>
      </c>
      <c r="C83" s="10">
        <v>7.0</v>
      </c>
      <c r="D83" s="10">
        <v>74.0</v>
      </c>
      <c r="E83" s="37">
        <f>D83/100*refs!B3</f>
        <v>88.8</v>
      </c>
      <c r="F83" s="37">
        <f t="shared" si="4"/>
        <v>118.4</v>
      </c>
      <c r="G83" s="20"/>
    </row>
    <row r="84">
      <c r="A84" s="12" t="s">
        <v>12</v>
      </c>
      <c r="B84" s="12">
        <v>1.0</v>
      </c>
      <c r="C84" s="12">
        <v>7.0</v>
      </c>
      <c r="D84" s="12">
        <v>90.0</v>
      </c>
      <c r="E84" s="41">
        <f>D84/100*refs!B4</f>
        <v>85.5</v>
      </c>
      <c r="F84" s="41">
        <f t="shared" si="4"/>
        <v>96.9</v>
      </c>
      <c r="G84" s="20"/>
    </row>
    <row r="85">
      <c r="A85" s="12" t="s">
        <v>12</v>
      </c>
      <c r="B85" s="12">
        <v>1.0</v>
      </c>
      <c r="C85" s="12">
        <v>9.0</v>
      </c>
      <c r="D85" s="12">
        <v>96.0</v>
      </c>
      <c r="E85" s="41">
        <f>D85/100*refs!B4</f>
        <v>91.2</v>
      </c>
      <c r="F85" s="41">
        <f t="shared" si="4"/>
        <v>97.3</v>
      </c>
      <c r="G85" s="20"/>
    </row>
    <row r="86">
      <c r="A86" s="12" t="s">
        <v>12</v>
      </c>
      <c r="B86" s="12">
        <v>1.0</v>
      </c>
      <c r="C86" s="12">
        <v>10.0</v>
      </c>
      <c r="D86" s="12">
        <v>100.0</v>
      </c>
      <c r="E86" s="41">
        <f>D86/100*refs!B4</f>
        <v>95</v>
      </c>
      <c r="F86" s="41">
        <f t="shared" si="4"/>
        <v>98.2</v>
      </c>
      <c r="G86" s="20"/>
    </row>
    <row r="87">
      <c r="A87" s="9" t="s">
        <v>35</v>
      </c>
      <c r="B87" s="9">
        <v>5.0</v>
      </c>
      <c r="C87" s="24" t="s">
        <v>20</v>
      </c>
      <c r="D87" s="9">
        <v>79.0</v>
      </c>
      <c r="E87" s="14">
        <f>D87/100*refs!B4</f>
        <v>75.05</v>
      </c>
      <c r="F87" s="27" t="str">
        <f t="shared" si="4"/>
        <v>?</v>
      </c>
      <c r="G87" s="20"/>
    </row>
    <row r="88">
      <c r="A88" s="9" t="s">
        <v>35</v>
      </c>
      <c r="B88" s="9">
        <v>5.0</v>
      </c>
      <c r="C88" s="24" t="s">
        <v>20</v>
      </c>
      <c r="D88" s="9">
        <v>79.0</v>
      </c>
      <c r="E88" s="14">
        <f>D88/100*refs!B4</f>
        <v>75.05</v>
      </c>
      <c r="F88" s="27" t="str">
        <f t="shared" si="4"/>
        <v>?</v>
      </c>
      <c r="G88" s="20"/>
    </row>
    <row r="89">
      <c r="A89" s="25" t="str">
        <f>refs!A14</f>
        <v>Dumbbel rowing</v>
      </c>
      <c r="B89" s="25">
        <f>refs!B14</f>
        <v>8</v>
      </c>
      <c r="C89" s="25">
        <v>8.0</v>
      </c>
      <c r="D89" s="43"/>
      <c r="E89" s="25">
        <f>refs!C14</f>
        <v>46</v>
      </c>
      <c r="F89" s="43">
        <f t="shared" si="4"/>
        <v>61.3</v>
      </c>
      <c r="G89" s="20"/>
    </row>
    <row r="90">
      <c r="A90" s="25" t="str">
        <f>refs!A14</f>
        <v>Dumbbel rowing</v>
      </c>
      <c r="B90" s="25">
        <f>refs!B14</f>
        <v>8</v>
      </c>
      <c r="C90" s="25">
        <v>8.0</v>
      </c>
      <c r="D90" s="43"/>
      <c r="E90" s="25">
        <f>refs!C14</f>
        <v>46</v>
      </c>
      <c r="F90" s="43">
        <f t="shared" si="4"/>
        <v>61.3</v>
      </c>
      <c r="G90" s="20"/>
    </row>
    <row r="91">
      <c r="A91" s="25" t="str">
        <f>refs!A14</f>
        <v>Dumbbel rowing</v>
      </c>
      <c r="B91" s="25">
        <f>refs!B14</f>
        <v>8</v>
      </c>
      <c r="C91" s="25">
        <v>8.0</v>
      </c>
      <c r="D91" s="43"/>
      <c r="E91" s="25">
        <f>refs!C14</f>
        <v>46</v>
      </c>
      <c r="F91" s="43">
        <f t="shared" si="4"/>
        <v>61.3</v>
      </c>
      <c r="G91" s="20"/>
    </row>
    <row r="92">
      <c r="A92" s="25" t="str">
        <f>refs!A14</f>
        <v>Dumbbel rowing</v>
      </c>
      <c r="B92" s="25">
        <f>refs!B14</f>
        <v>8</v>
      </c>
      <c r="C92" s="25">
        <v>8.0</v>
      </c>
      <c r="D92" s="43"/>
      <c r="E92" s="25">
        <f>refs!C14</f>
        <v>46</v>
      </c>
      <c r="F92" s="43">
        <f t="shared" si="4"/>
        <v>61.3</v>
      </c>
      <c r="G92" s="20"/>
    </row>
    <row r="93">
      <c r="A93" s="44" t="str">
        <f>refs!A15</f>
        <v>Hammer curl</v>
      </c>
      <c r="B93" s="44">
        <f>refs!B15</f>
        <v>8</v>
      </c>
      <c r="C93" s="44">
        <v>8.0</v>
      </c>
      <c r="D93" s="45"/>
      <c r="E93" s="44">
        <f>refs!C15</f>
        <v>26</v>
      </c>
      <c r="F93" s="45">
        <f t="shared" si="4"/>
        <v>34.7</v>
      </c>
      <c r="G93" s="20"/>
    </row>
    <row r="94">
      <c r="A94" s="44" t="str">
        <f>refs!A15</f>
        <v>Hammer curl</v>
      </c>
      <c r="B94" s="44">
        <f>refs!B15</f>
        <v>8</v>
      </c>
      <c r="C94" s="44">
        <v>8.0</v>
      </c>
      <c r="D94" s="45"/>
      <c r="E94" s="44">
        <f>refs!C15</f>
        <v>26</v>
      </c>
      <c r="F94" s="45">
        <f t="shared" si="4"/>
        <v>34.7</v>
      </c>
      <c r="G94" s="20"/>
    </row>
    <row r="95">
      <c r="A95" s="44" t="str">
        <f>refs!A15</f>
        <v>Hammer curl</v>
      </c>
      <c r="B95" s="44">
        <f>refs!B15</f>
        <v>8</v>
      </c>
      <c r="C95" s="44">
        <v>8.0</v>
      </c>
      <c r="D95" s="45"/>
      <c r="E95" s="44">
        <f>refs!C15</f>
        <v>26</v>
      </c>
      <c r="F95" s="45">
        <f t="shared" si="4"/>
        <v>34.7</v>
      </c>
      <c r="G95" s="20"/>
    </row>
    <row r="96">
      <c r="A96" s="44" t="str">
        <f>refs!A15</f>
        <v>Hammer curl</v>
      </c>
      <c r="B96" s="44">
        <f>refs!B15</f>
        <v>8</v>
      </c>
      <c r="C96" s="44">
        <v>8.0</v>
      </c>
      <c r="D96" s="45"/>
      <c r="E96" s="44">
        <f>refs!C15</f>
        <v>26</v>
      </c>
      <c r="F96" s="46">
        <f t="shared" si="4"/>
        <v>34.7</v>
      </c>
      <c r="G96" s="33"/>
    </row>
  </sheetData>
  <mergeCells count="10">
    <mergeCell ref="G69:G76"/>
    <mergeCell ref="A78:G78"/>
    <mergeCell ref="G80:G96"/>
    <mergeCell ref="A1:G1"/>
    <mergeCell ref="G3:G20"/>
    <mergeCell ref="G21:G28"/>
    <mergeCell ref="A30:G30"/>
    <mergeCell ref="G32:G48"/>
    <mergeCell ref="A50:G50"/>
    <mergeCell ref="G52:G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2" t="s">
        <v>39</v>
      </c>
      <c r="B1" s="3"/>
      <c r="C1" s="3"/>
      <c r="D1" s="3"/>
      <c r="E1" s="3"/>
      <c r="F1" s="3"/>
      <c r="G1" s="4"/>
      <c r="H1" s="5"/>
    </row>
    <row r="2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5"/>
    </row>
    <row r="3">
      <c r="A3" s="8" t="s">
        <v>10</v>
      </c>
      <c r="B3" s="8">
        <v>6.0</v>
      </c>
      <c r="C3" s="8">
        <v>5.0</v>
      </c>
      <c r="D3" s="8">
        <v>71.0</v>
      </c>
      <c r="E3" s="11">
        <f>D3/100*refs!B4</f>
        <v>67.45</v>
      </c>
      <c r="F3" s="11">
        <f t="shared" ref="F3:F25" si="1">IF(OR(C3="?",E3&lt;=0), "?", ROUND(E3*(1+(B3+(10-C3))/30),1))</f>
        <v>92.2</v>
      </c>
      <c r="G3" s="16"/>
    </row>
    <row r="4">
      <c r="A4" s="8" t="s">
        <v>10</v>
      </c>
      <c r="B4" s="8">
        <v>6.0</v>
      </c>
      <c r="C4" s="8">
        <v>7.0</v>
      </c>
      <c r="D4" s="8">
        <v>76.0</v>
      </c>
      <c r="E4" s="11">
        <f>D4/100*refs!B4</f>
        <v>72.2</v>
      </c>
      <c r="F4" s="11">
        <f t="shared" si="1"/>
        <v>93.9</v>
      </c>
      <c r="G4" s="20"/>
    </row>
    <row r="5">
      <c r="A5" s="8" t="s">
        <v>10</v>
      </c>
      <c r="B5" s="8">
        <v>6.0</v>
      </c>
      <c r="C5" s="8">
        <v>7.0</v>
      </c>
      <c r="D5" s="8">
        <v>76.0</v>
      </c>
      <c r="E5" s="11">
        <f>D5/100*refs!B4</f>
        <v>72.2</v>
      </c>
      <c r="F5" s="11">
        <f t="shared" si="1"/>
        <v>93.9</v>
      </c>
      <c r="G5" s="20"/>
    </row>
    <row r="6">
      <c r="A6" s="8" t="s">
        <v>10</v>
      </c>
      <c r="B6" s="8">
        <v>6.0</v>
      </c>
      <c r="C6" s="8">
        <v>7.0</v>
      </c>
      <c r="D6" s="8">
        <v>76.0</v>
      </c>
      <c r="E6" s="11">
        <f>D6/100*refs!B4</f>
        <v>72.2</v>
      </c>
      <c r="F6" s="11">
        <f t="shared" si="1"/>
        <v>93.9</v>
      </c>
      <c r="G6" s="20"/>
    </row>
    <row r="7">
      <c r="A7" s="13" t="s">
        <v>13</v>
      </c>
      <c r="B7" s="13">
        <v>2.0</v>
      </c>
      <c r="C7" s="13">
        <v>5.0</v>
      </c>
      <c r="D7" s="13">
        <v>81.0</v>
      </c>
      <c r="E7" s="28">
        <f>D7/100*refs!B5</f>
        <v>182.25</v>
      </c>
      <c r="F7" s="28">
        <f t="shared" si="1"/>
        <v>224.8</v>
      </c>
      <c r="G7" s="20"/>
    </row>
    <row r="8">
      <c r="A8" s="13" t="s">
        <v>13</v>
      </c>
      <c r="B8" s="13">
        <v>2.0</v>
      </c>
      <c r="C8" s="13">
        <v>7.0</v>
      </c>
      <c r="D8" s="13">
        <v>86.0</v>
      </c>
      <c r="E8" s="28">
        <f>D8/100*refs!B5</f>
        <v>193.5</v>
      </c>
      <c r="F8" s="28">
        <f t="shared" si="1"/>
        <v>225.8</v>
      </c>
      <c r="G8" s="20"/>
    </row>
    <row r="9">
      <c r="A9" s="13" t="s">
        <v>13</v>
      </c>
      <c r="B9" s="13">
        <v>2.0</v>
      </c>
      <c r="C9" s="24" t="s">
        <v>20</v>
      </c>
      <c r="D9" s="13">
        <v>82.0</v>
      </c>
      <c r="E9" s="28">
        <f>D9/100*refs!B5</f>
        <v>184.5</v>
      </c>
      <c r="F9" s="27" t="str">
        <f t="shared" si="1"/>
        <v>?</v>
      </c>
      <c r="G9" s="20"/>
    </row>
    <row r="10">
      <c r="A10" s="19" t="str">
        <f>refs!A10</f>
        <v>Pull-ups</v>
      </c>
      <c r="B10" s="19">
        <f>refs!B10</f>
        <v>5</v>
      </c>
      <c r="C10" s="19">
        <v>8.0</v>
      </c>
      <c r="D10" s="31"/>
      <c r="E10" s="19">
        <f>refs!C10</f>
        <v>0</v>
      </c>
      <c r="F10" s="31" t="str">
        <f t="shared" si="1"/>
        <v>?</v>
      </c>
      <c r="G10" s="20"/>
    </row>
    <row r="11">
      <c r="A11" s="19" t="str">
        <f>refs!A10</f>
        <v>Pull-ups</v>
      </c>
      <c r="B11" s="19">
        <f>refs!B10</f>
        <v>5</v>
      </c>
      <c r="C11" s="19">
        <v>8.0</v>
      </c>
      <c r="D11" s="31"/>
      <c r="E11" s="19">
        <f>refs!C10</f>
        <v>0</v>
      </c>
      <c r="F11" s="31" t="str">
        <f t="shared" si="1"/>
        <v>?</v>
      </c>
      <c r="G11" s="20"/>
    </row>
    <row r="12">
      <c r="A12" s="19" t="str">
        <f>refs!A10</f>
        <v>Pull-ups</v>
      </c>
      <c r="B12" s="19">
        <f>refs!B10</f>
        <v>5</v>
      </c>
      <c r="C12" s="19">
        <v>8.0</v>
      </c>
      <c r="D12" s="31"/>
      <c r="E12" s="19">
        <f>refs!C10</f>
        <v>0</v>
      </c>
      <c r="F12" s="31" t="str">
        <f t="shared" si="1"/>
        <v>?</v>
      </c>
      <c r="G12" s="20"/>
    </row>
    <row r="13">
      <c r="A13" s="19" t="str">
        <f>refs!A10</f>
        <v>Pull-ups</v>
      </c>
      <c r="B13" s="19">
        <f>refs!B10</f>
        <v>5</v>
      </c>
      <c r="C13" s="19">
        <v>8.0</v>
      </c>
      <c r="D13" s="31"/>
      <c r="E13" s="19">
        <f>refs!C10</f>
        <v>0</v>
      </c>
      <c r="F13" s="31" t="str">
        <f t="shared" si="1"/>
        <v>?</v>
      </c>
      <c r="G13" s="20"/>
    </row>
    <row r="14">
      <c r="A14" s="21" t="str">
        <f>refs!A11</f>
        <v>Dips</v>
      </c>
      <c r="B14" s="21">
        <f>refs!B11</f>
        <v>8</v>
      </c>
      <c r="C14" s="21">
        <v>8.0</v>
      </c>
      <c r="D14" s="32"/>
      <c r="E14" s="21">
        <f>refs!C11</f>
        <v>0</v>
      </c>
      <c r="F14" s="32" t="str">
        <f t="shared" si="1"/>
        <v>?</v>
      </c>
      <c r="G14" s="20"/>
    </row>
    <row r="15">
      <c r="A15" s="21" t="str">
        <f>refs!A11</f>
        <v>Dips</v>
      </c>
      <c r="B15" s="21">
        <f>refs!B11</f>
        <v>8</v>
      </c>
      <c r="C15" s="21">
        <v>8.0</v>
      </c>
      <c r="D15" s="32"/>
      <c r="E15" s="21">
        <f>refs!C11</f>
        <v>0</v>
      </c>
      <c r="F15" s="32" t="str">
        <f t="shared" si="1"/>
        <v>?</v>
      </c>
      <c r="G15" s="20"/>
    </row>
    <row r="16">
      <c r="A16" s="21" t="str">
        <f>refs!A11</f>
        <v>Dips</v>
      </c>
      <c r="B16" s="21">
        <f>refs!B11</f>
        <v>8</v>
      </c>
      <c r="C16" s="21">
        <v>8.0</v>
      </c>
      <c r="D16" s="32"/>
      <c r="E16" s="21">
        <f>refs!C11</f>
        <v>0</v>
      </c>
      <c r="F16" s="32" t="str">
        <f t="shared" si="1"/>
        <v>?</v>
      </c>
      <c r="G16" s="20"/>
    </row>
    <row r="17">
      <c r="A17" s="21" t="str">
        <f>refs!A11</f>
        <v>Dips</v>
      </c>
      <c r="B17" s="21">
        <f>refs!B11</f>
        <v>8</v>
      </c>
      <c r="C17" s="21">
        <v>8.0</v>
      </c>
      <c r="D17" s="32"/>
      <c r="E17" s="21">
        <f>refs!C11</f>
        <v>0</v>
      </c>
      <c r="F17" s="32" t="str">
        <f t="shared" si="1"/>
        <v>?</v>
      </c>
      <c r="G17" s="33"/>
    </row>
    <row r="18">
      <c r="A18" s="22" t="str">
        <f>refs!A12</f>
        <v>Lateral raises</v>
      </c>
      <c r="B18" s="22">
        <f>refs!B12</f>
        <v>15</v>
      </c>
      <c r="C18" s="22">
        <v>8.0</v>
      </c>
      <c r="D18" s="34"/>
      <c r="E18" s="22">
        <f>refs!C12</f>
        <v>14</v>
      </c>
      <c r="F18" s="34">
        <f t="shared" si="1"/>
        <v>21.9</v>
      </c>
      <c r="G18" s="35">
        <v>2.0</v>
      </c>
    </row>
    <row r="19">
      <c r="A19" s="22" t="str">
        <f>refs!A12</f>
        <v>Lateral raises</v>
      </c>
      <c r="B19" s="22">
        <f>refs!B12</f>
        <v>15</v>
      </c>
      <c r="C19" s="22">
        <v>8.0</v>
      </c>
      <c r="D19" s="34"/>
      <c r="E19" s="22">
        <f>refs!C12</f>
        <v>14</v>
      </c>
      <c r="F19" s="34">
        <f t="shared" si="1"/>
        <v>21.9</v>
      </c>
      <c r="G19" s="20"/>
    </row>
    <row r="20">
      <c r="A20" s="22" t="str">
        <f>refs!A12</f>
        <v>Lateral raises</v>
      </c>
      <c r="B20" s="22">
        <f>refs!B12</f>
        <v>15</v>
      </c>
      <c r="C20" s="22">
        <v>8.0</v>
      </c>
      <c r="D20" s="34"/>
      <c r="E20" s="22">
        <f>refs!C12</f>
        <v>14</v>
      </c>
      <c r="F20" s="34">
        <f t="shared" si="1"/>
        <v>21.9</v>
      </c>
      <c r="G20" s="20"/>
    </row>
    <row r="21">
      <c r="A21" s="22" t="str">
        <f>refs!A12</f>
        <v>Lateral raises</v>
      </c>
      <c r="B21" s="22">
        <f>refs!B12</f>
        <v>15</v>
      </c>
      <c r="C21" s="22">
        <v>8.0</v>
      </c>
      <c r="D21" s="34"/>
      <c r="E21" s="22">
        <f>refs!C12</f>
        <v>14</v>
      </c>
      <c r="F21" s="34">
        <f t="shared" si="1"/>
        <v>21.9</v>
      </c>
      <c r="G21" s="20"/>
    </row>
    <row r="22">
      <c r="A22" s="23" t="str">
        <f>refs!A13</f>
        <v>Strict curl</v>
      </c>
      <c r="B22" s="23">
        <f>refs!B13</f>
        <v>15</v>
      </c>
      <c r="C22" s="23">
        <v>8.0</v>
      </c>
      <c r="D22" s="36"/>
      <c r="E22" s="23">
        <f>refs!C13</f>
        <v>14</v>
      </c>
      <c r="F22" s="36">
        <f t="shared" si="1"/>
        <v>21.9</v>
      </c>
      <c r="G22" s="20"/>
    </row>
    <row r="23">
      <c r="A23" s="23" t="str">
        <f>refs!A13</f>
        <v>Strict curl</v>
      </c>
      <c r="B23" s="23">
        <f>refs!B13</f>
        <v>15</v>
      </c>
      <c r="C23" s="23">
        <v>8.0</v>
      </c>
      <c r="D23" s="36"/>
      <c r="E23" s="23">
        <f>refs!C13</f>
        <v>14</v>
      </c>
      <c r="F23" s="36">
        <f t="shared" si="1"/>
        <v>21.9</v>
      </c>
      <c r="G23" s="20"/>
    </row>
    <row r="24">
      <c r="A24" s="23" t="str">
        <f>refs!A13</f>
        <v>Strict curl</v>
      </c>
      <c r="B24" s="23">
        <f>refs!B13</f>
        <v>15</v>
      </c>
      <c r="C24" s="23">
        <v>8.0</v>
      </c>
      <c r="D24" s="36"/>
      <c r="E24" s="23">
        <f>refs!C13</f>
        <v>14</v>
      </c>
      <c r="F24" s="36">
        <f t="shared" si="1"/>
        <v>21.9</v>
      </c>
      <c r="G24" s="20"/>
    </row>
    <row r="25">
      <c r="A25" s="23" t="str">
        <f>refs!A13</f>
        <v>Strict curl</v>
      </c>
      <c r="B25" s="23">
        <f>refs!B13</f>
        <v>15</v>
      </c>
      <c r="C25" s="23">
        <v>8.0</v>
      </c>
      <c r="D25" s="36"/>
      <c r="E25" s="23">
        <f>refs!C13</f>
        <v>14</v>
      </c>
      <c r="F25" s="36">
        <f t="shared" si="1"/>
        <v>21.9</v>
      </c>
      <c r="G25" s="33"/>
    </row>
    <row r="27">
      <c r="A27" s="1" t="s">
        <v>41</v>
      </c>
      <c r="B27" s="3"/>
      <c r="C27" s="3"/>
      <c r="D27" s="3"/>
      <c r="E27" s="3"/>
      <c r="F27" s="3"/>
      <c r="G27" s="4"/>
    </row>
    <row r="28">
      <c r="A28" s="6" t="s">
        <v>3</v>
      </c>
      <c r="B28" s="6" t="s">
        <v>4</v>
      </c>
      <c r="C28" s="6" t="s">
        <v>5</v>
      </c>
      <c r="D28" s="6" t="s">
        <v>6</v>
      </c>
      <c r="E28" s="6" t="s">
        <v>7</v>
      </c>
      <c r="F28" s="6" t="s">
        <v>8</v>
      </c>
      <c r="G28" s="6" t="s">
        <v>9</v>
      </c>
    </row>
    <row r="29">
      <c r="A29" s="10" t="s">
        <v>11</v>
      </c>
      <c r="B29" s="10">
        <v>6.0</v>
      </c>
      <c r="C29" s="10">
        <v>5.0</v>
      </c>
      <c r="D29" s="10">
        <v>71.0</v>
      </c>
      <c r="E29" s="37">
        <f>D29/100*refs!B3</f>
        <v>85.2</v>
      </c>
      <c r="F29" s="37">
        <f t="shared" ref="F29:F45" si="2">IF(OR(C29="?",E29&lt;=0), "?", ROUND(E29*(1+(B29+(10-C29))/30),1))</f>
        <v>116.4</v>
      </c>
      <c r="G29" s="16">
        <v>1.0</v>
      </c>
    </row>
    <row r="30">
      <c r="A30" s="10" t="s">
        <v>11</v>
      </c>
      <c r="B30" s="10">
        <v>6.0</v>
      </c>
      <c r="C30" s="10">
        <v>6.0</v>
      </c>
      <c r="D30" s="10">
        <v>74.0</v>
      </c>
      <c r="E30" s="37">
        <f>D30/100*refs!B3</f>
        <v>88.8</v>
      </c>
      <c r="F30" s="37">
        <f t="shared" si="2"/>
        <v>118.4</v>
      </c>
      <c r="G30" s="20"/>
    </row>
    <row r="31">
      <c r="A31" s="10" t="s">
        <v>11</v>
      </c>
      <c r="B31" s="10">
        <v>6.0</v>
      </c>
      <c r="C31" s="10">
        <v>6.0</v>
      </c>
      <c r="D31" s="10">
        <v>74.0</v>
      </c>
      <c r="E31" s="37">
        <f>D31/100*refs!B3</f>
        <v>88.8</v>
      </c>
      <c r="F31" s="37">
        <f t="shared" si="2"/>
        <v>118.4</v>
      </c>
      <c r="G31" s="20"/>
    </row>
    <row r="32">
      <c r="A32" s="39" t="s">
        <v>42</v>
      </c>
      <c r="B32" s="39">
        <v>8.0</v>
      </c>
      <c r="C32" s="39">
        <v>5.0</v>
      </c>
      <c r="D32" s="39">
        <v>65.0</v>
      </c>
      <c r="E32" s="40">
        <f>D32/100*refs!B3</f>
        <v>78</v>
      </c>
      <c r="F32" s="40">
        <f t="shared" si="2"/>
        <v>111.8</v>
      </c>
      <c r="G32" s="20"/>
    </row>
    <row r="33">
      <c r="A33" s="39" t="s">
        <v>42</v>
      </c>
      <c r="B33" s="39">
        <v>8.0</v>
      </c>
      <c r="C33" s="39">
        <v>7.0</v>
      </c>
      <c r="D33" s="39">
        <v>71.0</v>
      </c>
      <c r="E33" s="40">
        <f>D33/100*refs!B3</f>
        <v>85.2</v>
      </c>
      <c r="F33" s="40">
        <f t="shared" si="2"/>
        <v>116.4</v>
      </c>
      <c r="G33" s="20"/>
    </row>
    <row r="34">
      <c r="A34" s="39" t="s">
        <v>42</v>
      </c>
      <c r="B34" s="39">
        <v>8.0</v>
      </c>
      <c r="C34" s="39">
        <v>7.0</v>
      </c>
      <c r="D34" s="39">
        <v>71.0</v>
      </c>
      <c r="E34" s="40">
        <f>D34/100*refs!B3</f>
        <v>85.2</v>
      </c>
      <c r="F34" s="40">
        <f t="shared" si="2"/>
        <v>116.4</v>
      </c>
      <c r="G34" s="20"/>
    </row>
    <row r="35">
      <c r="A35" s="12" t="s">
        <v>12</v>
      </c>
      <c r="B35" s="12">
        <v>10.0</v>
      </c>
      <c r="C35" s="12">
        <v>8.0</v>
      </c>
      <c r="D35" s="12">
        <v>69.0</v>
      </c>
      <c r="E35" s="41">
        <f>D35/100*refs!B4</f>
        <v>65.55</v>
      </c>
      <c r="F35" s="41">
        <f t="shared" si="2"/>
        <v>91.8</v>
      </c>
      <c r="G35" s="20"/>
    </row>
    <row r="36">
      <c r="A36" s="12" t="s">
        <v>12</v>
      </c>
      <c r="B36" s="12">
        <v>10.0</v>
      </c>
      <c r="C36" s="24" t="s">
        <v>20</v>
      </c>
      <c r="D36" s="12">
        <v>61.0</v>
      </c>
      <c r="E36" s="41">
        <f>D36/100*refs!B4</f>
        <v>57.95</v>
      </c>
      <c r="F36" s="27" t="str">
        <f t="shared" si="2"/>
        <v>?</v>
      </c>
      <c r="G36" s="20"/>
    </row>
    <row r="37">
      <c r="A37" s="12" t="s">
        <v>12</v>
      </c>
      <c r="B37" s="12">
        <v>10.0</v>
      </c>
      <c r="C37" s="24" t="s">
        <v>20</v>
      </c>
      <c r="D37" s="12">
        <v>61.0</v>
      </c>
      <c r="E37" s="41">
        <f>D37/100*refs!B4</f>
        <v>57.95</v>
      </c>
      <c r="F37" s="27" t="str">
        <f t="shared" si="2"/>
        <v>?</v>
      </c>
      <c r="G37" s="20"/>
    </row>
    <row r="38">
      <c r="A38" s="25" t="str">
        <f>refs!A14</f>
        <v>Dumbbel rowing</v>
      </c>
      <c r="B38" s="25">
        <f>refs!B14</f>
        <v>8</v>
      </c>
      <c r="C38" s="25">
        <v>8.0</v>
      </c>
      <c r="D38" s="43"/>
      <c r="E38" s="25">
        <f>refs!C14</f>
        <v>46</v>
      </c>
      <c r="F38" s="43">
        <f t="shared" si="2"/>
        <v>61.3</v>
      </c>
      <c r="G38" s="20"/>
    </row>
    <row r="39">
      <c r="A39" s="25" t="str">
        <f>refs!A14</f>
        <v>Dumbbel rowing</v>
      </c>
      <c r="B39" s="25">
        <f>refs!B14</f>
        <v>8</v>
      </c>
      <c r="C39" s="25">
        <v>8.0</v>
      </c>
      <c r="D39" s="43"/>
      <c r="E39" s="25">
        <f>refs!C14</f>
        <v>46</v>
      </c>
      <c r="F39" s="43">
        <f t="shared" si="2"/>
        <v>61.3</v>
      </c>
      <c r="G39" s="20"/>
    </row>
    <row r="40">
      <c r="A40" s="25" t="str">
        <f>refs!A14</f>
        <v>Dumbbel rowing</v>
      </c>
      <c r="B40" s="25">
        <f>refs!B14</f>
        <v>8</v>
      </c>
      <c r="C40" s="25">
        <v>8.0</v>
      </c>
      <c r="D40" s="43"/>
      <c r="E40" s="25">
        <f>refs!C14</f>
        <v>46</v>
      </c>
      <c r="F40" s="43">
        <f t="shared" si="2"/>
        <v>61.3</v>
      </c>
      <c r="G40" s="20"/>
    </row>
    <row r="41">
      <c r="A41" s="25" t="str">
        <f>refs!A14</f>
        <v>Dumbbel rowing</v>
      </c>
      <c r="B41" s="25">
        <f>refs!B14</f>
        <v>8</v>
      </c>
      <c r="C41" s="25">
        <v>8.0</v>
      </c>
      <c r="D41" s="43"/>
      <c r="E41" s="25">
        <f>refs!C14</f>
        <v>46</v>
      </c>
      <c r="F41" s="43">
        <f t="shared" si="2"/>
        <v>61.3</v>
      </c>
      <c r="G41" s="20"/>
    </row>
    <row r="42">
      <c r="A42" s="44" t="str">
        <f>refs!A15</f>
        <v>Hammer curl</v>
      </c>
      <c r="B42" s="44">
        <f>refs!B15</f>
        <v>8</v>
      </c>
      <c r="C42" s="44">
        <v>8.0</v>
      </c>
      <c r="D42" s="45"/>
      <c r="E42" s="44">
        <f>refs!C15</f>
        <v>26</v>
      </c>
      <c r="F42" s="45">
        <f t="shared" si="2"/>
        <v>34.7</v>
      </c>
      <c r="G42" s="20"/>
    </row>
    <row r="43">
      <c r="A43" s="44" t="str">
        <f>refs!A15</f>
        <v>Hammer curl</v>
      </c>
      <c r="B43" s="44">
        <f>refs!B15</f>
        <v>8</v>
      </c>
      <c r="C43" s="44">
        <v>8.0</v>
      </c>
      <c r="D43" s="45"/>
      <c r="E43" s="44">
        <f>refs!C15</f>
        <v>26</v>
      </c>
      <c r="F43" s="45">
        <f t="shared" si="2"/>
        <v>34.7</v>
      </c>
      <c r="G43" s="20"/>
    </row>
    <row r="44">
      <c r="A44" s="44" t="str">
        <f>refs!A15</f>
        <v>Hammer curl</v>
      </c>
      <c r="B44" s="44">
        <f>refs!B15</f>
        <v>8</v>
      </c>
      <c r="C44" s="44">
        <v>8.0</v>
      </c>
      <c r="D44" s="45"/>
      <c r="E44" s="44">
        <f>refs!C15</f>
        <v>26</v>
      </c>
      <c r="F44" s="45">
        <f t="shared" si="2"/>
        <v>34.7</v>
      </c>
      <c r="G44" s="20"/>
    </row>
    <row r="45">
      <c r="A45" s="44" t="str">
        <f>refs!A15</f>
        <v>Hammer curl</v>
      </c>
      <c r="B45" s="44">
        <f>refs!B15</f>
        <v>8</v>
      </c>
      <c r="C45" s="44">
        <v>8.0</v>
      </c>
      <c r="D45" s="45"/>
      <c r="E45" s="44">
        <f>refs!C15</f>
        <v>26</v>
      </c>
      <c r="F45" s="46">
        <f t="shared" si="2"/>
        <v>34.7</v>
      </c>
      <c r="G45" s="33"/>
    </row>
    <row r="47">
      <c r="A47" s="1" t="s">
        <v>43</v>
      </c>
      <c r="B47" s="3"/>
      <c r="C47" s="3"/>
      <c r="D47" s="3"/>
      <c r="E47" s="3"/>
      <c r="F47" s="3"/>
      <c r="G47" s="4"/>
    </row>
    <row r="48">
      <c r="A48" s="7" t="s">
        <v>3</v>
      </c>
      <c r="B48" s="7" t="s">
        <v>4</v>
      </c>
      <c r="C48" s="7" t="s">
        <v>5</v>
      </c>
      <c r="D48" s="7" t="s">
        <v>6</v>
      </c>
      <c r="E48" s="7" t="s">
        <v>7</v>
      </c>
      <c r="F48" s="7" t="s">
        <v>8</v>
      </c>
      <c r="G48" s="7" t="s">
        <v>9</v>
      </c>
    </row>
    <row r="49">
      <c r="A49" s="8" t="s">
        <v>31</v>
      </c>
      <c r="B49" s="8">
        <v>5.0</v>
      </c>
      <c r="C49" s="8">
        <v>5.0</v>
      </c>
      <c r="D49" s="8">
        <v>74.0</v>
      </c>
      <c r="E49" s="11">
        <f>D49/100*refs!B4</f>
        <v>70.3</v>
      </c>
      <c r="F49" s="11">
        <f t="shared" ref="F49:F70" si="3">IF(OR(C49="?",E49&lt;=0), "?", ROUND(E49*(1+(B49+(10-C49))/30),1))</f>
        <v>93.7</v>
      </c>
      <c r="G49" s="16"/>
    </row>
    <row r="50">
      <c r="A50" s="8" t="s">
        <v>31</v>
      </c>
      <c r="B50" s="8">
        <v>5.0</v>
      </c>
      <c r="C50" s="8">
        <v>7.0</v>
      </c>
      <c r="D50" s="8">
        <v>78.0</v>
      </c>
      <c r="E50" s="11">
        <f>D50/100*refs!B4</f>
        <v>74.1</v>
      </c>
      <c r="F50" s="11">
        <f t="shared" si="3"/>
        <v>93.9</v>
      </c>
      <c r="G50" s="20"/>
    </row>
    <row r="51">
      <c r="A51" s="13" t="s">
        <v>13</v>
      </c>
      <c r="B51" s="13">
        <v>4.0</v>
      </c>
      <c r="C51" s="13">
        <v>5.0</v>
      </c>
      <c r="D51" s="13">
        <v>77.0</v>
      </c>
      <c r="E51" s="28">
        <f>D51/100*refs!B5</f>
        <v>173.25</v>
      </c>
      <c r="F51" s="28">
        <f t="shared" si="3"/>
        <v>225.2</v>
      </c>
      <c r="G51" s="20"/>
    </row>
    <row r="52">
      <c r="A52" s="13" t="s">
        <v>13</v>
      </c>
      <c r="B52" s="13">
        <v>4.0</v>
      </c>
      <c r="C52" s="13">
        <v>7.0</v>
      </c>
      <c r="D52" s="13">
        <v>82.0</v>
      </c>
      <c r="E52" s="28">
        <f>D52/100*refs!B5</f>
        <v>184.5</v>
      </c>
      <c r="F52" s="28">
        <f t="shared" si="3"/>
        <v>227.6</v>
      </c>
      <c r="G52" s="20"/>
    </row>
    <row r="53">
      <c r="A53" s="13" t="s">
        <v>13</v>
      </c>
      <c r="B53" s="13">
        <v>4.0</v>
      </c>
      <c r="C53" s="24" t="s">
        <v>20</v>
      </c>
      <c r="D53" s="13">
        <v>75.0</v>
      </c>
      <c r="E53" s="28">
        <f>D53/100*refs!B5</f>
        <v>168.75</v>
      </c>
      <c r="F53" s="27" t="str">
        <f t="shared" si="3"/>
        <v>?</v>
      </c>
      <c r="G53" s="20"/>
    </row>
    <row r="54">
      <c r="A54" s="13" t="s">
        <v>13</v>
      </c>
      <c r="B54" s="13">
        <v>8.0</v>
      </c>
      <c r="C54" s="13">
        <v>7.0</v>
      </c>
      <c r="D54" s="13">
        <v>71.0</v>
      </c>
      <c r="E54" s="28">
        <f>D54/100*refs!B5</f>
        <v>159.75</v>
      </c>
      <c r="F54" s="28">
        <f t="shared" si="3"/>
        <v>218.3</v>
      </c>
      <c r="G54" s="20"/>
    </row>
    <row r="55">
      <c r="A55" s="19" t="str">
        <f>refs!A10</f>
        <v>Pull-ups</v>
      </c>
      <c r="B55" s="19">
        <f>refs!B10</f>
        <v>5</v>
      </c>
      <c r="C55" s="19">
        <v>8.0</v>
      </c>
      <c r="D55" s="31"/>
      <c r="E55" s="19">
        <f>refs!C10</f>
        <v>0</v>
      </c>
      <c r="F55" s="31" t="str">
        <f t="shared" si="3"/>
        <v>?</v>
      </c>
      <c r="G55" s="20"/>
    </row>
    <row r="56">
      <c r="A56" s="19" t="str">
        <f>refs!A10</f>
        <v>Pull-ups</v>
      </c>
      <c r="B56" s="19">
        <f>refs!B10</f>
        <v>5</v>
      </c>
      <c r="C56" s="19">
        <v>8.0</v>
      </c>
      <c r="D56" s="31"/>
      <c r="E56" s="19">
        <f>refs!C10</f>
        <v>0</v>
      </c>
      <c r="F56" s="31" t="str">
        <f t="shared" si="3"/>
        <v>?</v>
      </c>
      <c r="G56" s="20"/>
    </row>
    <row r="57">
      <c r="A57" s="19" t="str">
        <f>refs!A10</f>
        <v>Pull-ups</v>
      </c>
      <c r="B57" s="19">
        <f>refs!B10</f>
        <v>5</v>
      </c>
      <c r="C57" s="19">
        <v>8.0</v>
      </c>
      <c r="D57" s="31"/>
      <c r="E57" s="19">
        <f>refs!C10</f>
        <v>0</v>
      </c>
      <c r="F57" s="31" t="str">
        <f t="shared" si="3"/>
        <v>?</v>
      </c>
      <c r="G57" s="20"/>
    </row>
    <row r="58">
      <c r="A58" s="19" t="str">
        <f>refs!A10</f>
        <v>Pull-ups</v>
      </c>
      <c r="B58" s="19">
        <f>refs!B10</f>
        <v>5</v>
      </c>
      <c r="C58" s="19">
        <v>8.0</v>
      </c>
      <c r="D58" s="31"/>
      <c r="E58" s="19">
        <f>refs!C10</f>
        <v>0</v>
      </c>
      <c r="F58" s="31" t="str">
        <f t="shared" si="3"/>
        <v>?</v>
      </c>
      <c r="G58" s="20"/>
    </row>
    <row r="59">
      <c r="A59" s="21" t="str">
        <f>refs!A11</f>
        <v>Dips</v>
      </c>
      <c r="B59" s="21">
        <f>refs!B11</f>
        <v>8</v>
      </c>
      <c r="C59" s="21">
        <v>8.0</v>
      </c>
      <c r="D59" s="32"/>
      <c r="E59" s="21">
        <f>refs!C11</f>
        <v>0</v>
      </c>
      <c r="F59" s="32" t="str">
        <f t="shared" si="3"/>
        <v>?</v>
      </c>
      <c r="G59" s="20"/>
    </row>
    <row r="60">
      <c r="A60" s="21" t="str">
        <f>refs!A11</f>
        <v>Dips</v>
      </c>
      <c r="B60" s="21">
        <f>refs!B11</f>
        <v>8</v>
      </c>
      <c r="C60" s="21">
        <v>8.0</v>
      </c>
      <c r="D60" s="32"/>
      <c r="E60" s="21">
        <f>refs!C10</f>
        <v>0</v>
      </c>
      <c r="F60" s="32" t="str">
        <f t="shared" si="3"/>
        <v>?</v>
      </c>
      <c r="G60" s="20"/>
    </row>
    <row r="61">
      <c r="A61" s="21" t="str">
        <f>refs!A11</f>
        <v>Dips</v>
      </c>
      <c r="B61" s="21">
        <f>refs!B11</f>
        <v>8</v>
      </c>
      <c r="C61" s="21">
        <v>8.0</v>
      </c>
      <c r="D61" s="32"/>
      <c r="E61" s="21">
        <f>refs!C11</f>
        <v>0</v>
      </c>
      <c r="F61" s="32" t="str">
        <f t="shared" si="3"/>
        <v>?</v>
      </c>
      <c r="G61" s="20"/>
    </row>
    <row r="62">
      <c r="A62" s="21" t="str">
        <f>refs!A11</f>
        <v>Dips</v>
      </c>
      <c r="B62" s="21">
        <f>refs!B11</f>
        <v>8</v>
      </c>
      <c r="C62" s="21">
        <v>8.0</v>
      </c>
      <c r="D62" s="32"/>
      <c r="E62" s="21">
        <f>refs!C11</f>
        <v>0</v>
      </c>
      <c r="F62" s="32" t="str">
        <f t="shared" si="3"/>
        <v>?</v>
      </c>
      <c r="G62" s="33"/>
    </row>
    <row r="63">
      <c r="A63" s="22" t="str">
        <f>refs!A12</f>
        <v>Lateral raises</v>
      </c>
      <c r="B63" s="22">
        <f>refs!B12</f>
        <v>15</v>
      </c>
      <c r="C63" s="22">
        <v>8.0</v>
      </c>
      <c r="D63" s="34"/>
      <c r="E63" s="22">
        <f>refs!C12</f>
        <v>14</v>
      </c>
      <c r="F63" s="34">
        <f t="shared" si="3"/>
        <v>21.9</v>
      </c>
      <c r="G63" s="35">
        <v>2.0</v>
      </c>
    </row>
    <row r="64">
      <c r="A64" s="22" t="str">
        <f>refs!A12</f>
        <v>Lateral raises</v>
      </c>
      <c r="B64" s="22">
        <f>refs!B12</f>
        <v>15</v>
      </c>
      <c r="C64" s="22">
        <v>8.0</v>
      </c>
      <c r="D64" s="34"/>
      <c r="E64" s="22">
        <f>refs!C12</f>
        <v>14</v>
      </c>
      <c r="F64" s="34">
        <f t="shared" si="3"/>
        <v>21.9</v>
      </c>
      <c r="G64" s="20"/>
    </row>
    <row r="65">
      <c r="A65" s="22" t="str">
        <f>refs!A12</f>
        <v>Lateral raises</v>
      </c>
      <c r="B65" s="22">
        <f>refs!B12</f>
        <v>15</v>
      </c>
      <c r="C65" s="22">
        <v>8.0</v>
      </c>
      <c r="D65" s="34"/>
      <c r="E65" s="22">
        <f>refs!C12</f>
        <v>14</v>
      </c>
      <c r="F65" s="34">
        <f t="shared" si="3"/>
        <v>21.9</v>
      </c>
      <c r="G65" s="20"/>
    </row>
    <row r="66">
      <c r="A66" s="22" t="str">
        <f>refs!A12</f>
        <v>Lateral raises</v>
      </c>
      <c r="B66" s="22">
        <f>refs!B12</f>
        <v>15</v>
      </c>
      <c r="C66" s="22">
        <v>8.0</v>
      </c>
      <c r="D66" s="34"/>
      <c r="E66" s="22">
        <f>refs!C12</f>
        <v>14</v>
      </c>
      <c r="F66" s="34">
        <f t="shared" si="3"/>
        <v>21.9</v>
      </c>
      <c r="G66" s="20"/>
    </row>
    <row r="67">
      <c r="A67" s="23" t="str">
        <f>refs!A13</f>
        <v>Strict curl</v>
      </c>
      <c r="B67" s="23">
        <f>refs!B13</f>
        <v>15</v>
      </c>
      <c r="C67" s="23">
        <v>8.0</v>
      </c>
      <c r="D67" s="36"/>
      <c r="E67" s="23">
        <f>refs!C13</f>
        <v>14</v>
      </c>
      <c r="F67" s="36">
        <f t="shared" si="3"/>
        <v>21.9</v>
      </c>
      <c r="G67" s="20"/>
    </row>
    <row r="68">
      <c r="A68" s="23" t="str">
        <f>refs!A13</f>
        <v>Strict curl</v>
      </c>
      <c r="B68" s="23">
        <f>refs!B13</f>
        <v>15</v>
      </c>
      <c r="C68" s="23">
        <v>8.0</v>
      </c>
      <c r="D68" s="36"/>
      <c r="E68" s="23">
        <f>refs!C13</f>
        <v>14</v>
      </c>
      <c r="F68" s="36">
        <f t="shared" si="3"/>
        <v>21.9</v>
      </c>
      <c r="G68" s="20"/>
    </row>
    <row r="69">
      <c r="A69" s="23" t="str">
        <f>refs!A13</f>
        <v>Strict curl</v>
      </c>
      <c r="B69" s="23">
        <f>refs!B13</f>
        <v>15</v>
      </c>
      <c r="C69" s="23">
        <v>8.0</v>
      </c>
      <c r="D69" s="36"/>
      <c r="E69" s="23">
        <f>refs!C13</f>
        <v>14</v>
      </c>
      <c r="F69" s="36">
        <f t="shared" si="3"/>
        <v>21.9</v>
      </c>
      <c r="G69" s="20"/>
    </row>
    <row r="70">
      <c r="A70" s="23" t="str">
        <f>refs!A13</f>
        <v>Strict curl</v>
      </c>
      <c r="B70" s="23">
        <f>refs!B13</f>
        <v>15</v>
      </c>
      <c r="C70" s="23">
        <v>8.0</v>
      </c>
      <c r="D70" s="36"/>
      <c r="E70" s="23">
        <f>refs!C13</f>
        <v>14</v>
      </c>
      <c r="F70" s="36">
        <f t="shared" si="3"/>
        <v>21.9</v>
      </c>
      <c r="G70" s="33"/>
    </row>
    <row r="72">
      <c r="A72" s="1">
        <f>refs!C15</f>
        <v>26</v>
      </c>
      <c r="B72" s="3"/>
      <c r="C72" s="3"/>
      <c r="D72" s="3"/>
      <c r="E72" s="3"/>
      <c r="F72" s="3"/>
      <c r="G72" s="4"/>
    </row>
    <row r="73">
      <c r="A73" s="7" t="s">
        <v>3</v>
      </c>
      <c r="B73" s="7" t="s">
        <v>4</v>
      </c>
      <c r="C73" s="7" t="s">
        <v>5</v>
      </c>
      <c r="D73" s="7" t="s">
        <v>6</v>
      </c>
      <c r="E73" s="7" t="s">
        <v>7</v>
      </c>
      <c r="F73" s="7" t="s">
        <v>8</v>
      </c>
      <c r="G73" s="7" t="s">
        <v>9</v>
      </c>
    </row>
    <row r="74">
      <c r="A74" s="10" t="s">
        <v>11</v>
      </c>
      <c r="B74" s="10">
        <v>4.0</v>
      </c>
      <c r="C74" s="10">
        <v>5.0</v>
      </c>
      <c r="D74" s="10">
        <v>77.0</v>
      </c>
      <c r="E74" s="37">
        <f>D74/100*refs!B3</f>
        <v>92.4</v>
      </c>
      <c r="F74" s="37">
        <f t="shared" ref="F74:F88" si="4">IF(OR(C74="?",E74&lt;=0), "?", ROUND(E74*(1+(B74+(10-C74))/30),1))</f>
        <v>120.1</v>
      </c>
      <c r="G74" s="16">
        <v>1.0</v>
      </c>
    </row>
    <row r="75">
      <c r="A75" s="10" t="s">
        <v>11</v>
      </c>
      <c r="B75" s="10">
        <v>4.0</v>
      </c>
      <c r="C75" s="10">
        <v>7.0</v>
      </c>
      <c r="D75" s="10">
        <v>82.0</v>
      </c>
      <c r="E75" s="37">
        <f>D75/100*refs!B3</f>
        <v>98.4</v>
      </c>
      <c r="F75" s="37">
        <f t="shared" si="4"/>
        <v>121.4</v>
      </c>
      <c r="G75" s="20"/>
    </row>
    <row r="76">
      <c r="A76" s="10" t="s">
        <v>11</v>
      </c>
      <c r="B76" s="10">
        <v>8.0</v>
      </c>
      <c r="C76" s="10">
        <v>7.0</v>
      </c>
      <c r="D76" s="10">
        <v>71.0</v>
      </c>
      <c r="E76" s="37">
        <f>D76/100*refs!B3</f>
        <v>85.2</v>
      </c>
      <c r="F76" s="37">
        <f t="shared" si="4"/>
        <v>116.4</v>
      </c>
      <c r="G76" s="20"/>
    </row>
    <row r="77">
      <c r="A77" s="12" t="s">
        <v>12</v>
      </c>
      <c r="B77" s="12">
        <v>4.0</v>
      </c>
      <c r="C77" s="12">
        <v>6.0</v>
      </c>
      <c r="D77" s="12">
        <v>79.0</v>
      </c>
      <c r="E77" s="41">
        <f>D77/100*refs!B4</f>
        <v>75.05</v>
      </c>
      <c r="F77" s="41">
        <f t="shared" si="4"/>
        <v>95.1</v>
      </c>
      <c r="G77" s="20"/>
    </row>
    <row r="78">
      <c r="A78" s="12" t="s">
        <v>12</v>
      </c>
      <c r="B78" s="12">
        <v>4.0</v>
      </c>
      <c r="C78" s="12">
        <v>8.0</v>
      </c>
      <c r="D78" s="12">
        <v>84.0</v>
      </c>
      <c r="E78" s="41">
        <f>D78/100*refs!B4</f>
        <v>79.8</v>
      </c>
      <c r="F78" s="41">
        <f t="shared" si="4"/>
        <v>95.8</v>
      </c>
      <c r="G78" s="20"/>
    </row>
    <row r="79">
      <c r="A79" s="9" t="s">
        <v>35</v>
      </c>
      <c r="B79" s="9">
        <v>8.0</v>
      </c>
      <c r="C79" s="9">
        <v>7.0</v>
      </c>
      <c r="D79" s="9">
        <v>71.0</v>
      </c>
      <c r="E79" s="14">
        <f>D79/100*refs!B4</f>
        <v>67.45</v>
      </c>
      <c r="F79" s="14">
        <f t="shared" si="4"/>
        <v>92.2</v>
      </c>
      <c r="G79" s="20"/>
    </row>
    <row r="80">
      <c r="A80" s="9" t="s">
        <v>35</v>
      </c>
      <c r="B80" s="9">
        <v>8.0</v>
      </c>
      <c r="C80" s="9">
        <v>7.0</v>
      </c>
      <c r="D80" s="9">
        <v>71.0</v>
      </c>
      <c r="E80" s="14">
        <f>D80/100*refs!B4</f>
        <v>67.45</v>
      </c>
      <c r="F80" s="14">
        <f t="shared" si="4"/>
        <v>92.2</v>
      </c>
      <c r="G80" s="20"/>
    </row>
    <row r="81">
      <c r="A81" s="25" t="str">
        <f>refs!A14</f>
        <v>Dumbbel rowing</v>
      </c>
      <c r="B81" s="25">
        <f>refs!B14</f>
        <v>8</v>
      </c>
      <c r="C81" s="25">
        <v>8.0</v>
      </c>
      <c r="D81" s="43"/>
      <c r="E81" s="25">
        <f>refs!C14</f>
        <v>46</v>
      </c>
      <c r="F81" s="43">
        <f t="shared" si="4"/>
        <v>61.3</v>
      </c>
      <c r="G81" s="20"/>
    </row>
    <row r="82">
      <c r="A82" s="25" t="str">
        <f>refs!A14</f>
        <v>Dumbbel rowing</v>
      </c>
      <c r="B82" s="25">
        <f>refs!B14</f>
        <v>8</v>
      </c>
      <c r="C82" s="25">
        <v>8.0</v>
      </c>
      <c r="D82" s="43"/>
      <c r="E82" s="25">
        <f>refs!C14</f>
        <v>46</v>
      </c>
      <c r="F82" s="43">
        <f t="shared" si="4"/>
        <v>61.3</v>
      </c>
      <c r="G82" s="20"/>
    </row>
    <row r="83">
      <c r="A83" s="25" t="str">
        <f>refs!A14</f>
        <v>Dumbbel rowing</v>
      </c>
      <c r="B83" s="25">
        <f>refs!B14</f>
        <v>8</v>
      </c>
      <c r="C83" s="25">
        <v>8.0</v>
      </c>
      <c r="D83" s="43"/>
      <c r="E83" s="25">
        <f>refs!C14</f>
        <v>46</v>
      </c>
      <c r="F83" s="43">
        <f t="shared" si="4"/>
        <v>61.3</v>
      </c>
      <c r="G83" s="20"/>
    </row>
    <row r="84">
      <c r="A84" s="25" t="str">
        <f>refs!A14</f>
        <v>Dumbbel rowing</v>
      </c>
      <c r="B84" s="25">
        <f>refs!B14</f>
        <v>8</v>
      </c>
      <c r="C84" s="25">
        <v>8.0</v>
      </c>
      <c r="D84" s="43"/>
      <c r="E84" s="25">
        <f>refs!C14</f>
        <v>46</v>
      </c>
      <c r="F84" s="43">
        <f t="shared" si="4"/>
        <v>61.3</v>
      </c>
      <c r="G84" s="20"/>
    </row>
    <row r="85">
      <c r="A85" s="44" t="str">
        <f>refs!A15</f>
        <v>Hammer curl</v>
      </c>
      <c r="B85" s="44">
        <f>refs!B15</f>
        <v>8</v>
      </c>
      <c r="C85" s="44">
        <v>8.0</v>
      </c>
      <c r="D85" s="45"/>
      <c r="E85" s="44">
        <f>refs!C15</f>
        <v>26</v>
      </c>
      <c r="F85" s="45">
        <f t="shared" si="4"/>
        <v>34.7</v>
      </c>
      <c r="G85" s="20"/>
    </row>
    <row r="86">
      <c r="A86" s="44" t="str">
        <f>refs!A15</f>
        <v>Hammer curl</v>
      </c>
      <c r="B86" s="44">
        <f>refs!B15</f>
        <v>8</v>
      </c>
      <c r="C86" s="44">
        <v>8.0</v>
      </c>
      <c r="D86" s="45"/>
      <c r="E86" s="44">
        <f>refs!C15</f>
        <v>26</v>
      </c>
      <c r="F86" s="45">
        <f t="shared" si="4"/>
        <v>34.7</v>
      </c>
      <c r="G86" s="20"/>
    </row>
    <row r="87">
      <c r="A87" s="44" t="str">
        <f>refs!A15</f>
        <v>Hammer curl</v>
      </c>
      <c r="B87" s="44">
        <f>refs!B15</f>
        <v>8</v>
      </c>
      <c r="C87" s="44">
        <v>8.0</v>
      </c>
      <c r="D87" s="45"/>
      <c r="E87" s="44">
        <f>refs!C15</f>
        <v>26</v>
      </c>
      <c r="F87" s="45">
        <f t="shared" si="4"/>
        <v>34.7</v>
      </c>
      <c r="G87" s="20"/>
    </row>
    <row r="88">
      <c r="A88" s="44" t="str">
        <f>refs!A15</f>
        <v>Hammer curl</v>
      </c>
      <c r="B88" s="44">
        <f>refs!B15</f>
        <v>8</v>
      </c>
      <c r="C88" s="44">
        <v>8.0</v>
      </c>
      <c r="D88" s="45"/>
      <c r="E88" s="44">
        <f>refs!C15</f>
        <v>26</v>
      </c>
      <c r="F88" s="46">
        <f t="shared" si="4"/>
        <v>34.7</v>
      </c>
      <c r="G88" s="33"/>
    </row>
  </sheetData>
  <mergeCells count="10">
    <mergeCell ref="G63:G70"/>
    <mergeCell ref="A72:G72"/>
    <mergeCell ref="G74:G88"/>
    <mergeCell ref="A1:G1"/>
    <mergeCell ref="G3:G17"/>
    <mergeCell ref="G18:G25"/>
    <mergeCell ref="A27:G27"/>
    <mergeCell ref="G29:G45"/>
    <mergeCell ref="A47:G47"/>
    <mergeCell ref="G49:G62"/>
  </mergeCells>
  <drawing r:id="rId1"/>
</worksheet>
</file>